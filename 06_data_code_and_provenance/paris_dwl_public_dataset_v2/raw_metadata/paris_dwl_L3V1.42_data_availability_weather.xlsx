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christen/Downloads/"/>
    </mc:Choice>
  </mc:AlternateContent>
  <xr:revisionPtr revIDLastSave="0" documentId="13_ncr:1_{CB6A4223-45AA-7B45-8055-664D5FA1BB7F}" xr6:coauthVersionLast="47" xr6:coauthVersionMax="47" xr10:uidLastSave="{00000000-0000-0000-0000-000000000000}"/>
  <bookViews>
    <workbookView xWindow="3120" yWindow="2080" windowWidth="34820" windowHeight="24660" xr2:uid="{00000000-000D-0000-FFFF-FFFF00000000}"/>
  </bookViews>
  <sheets>
    <sheet name="Data availabiliy and weather  " sheetId="1" r:id="rId1"/>
    <sheet name="Data Sources" sheetId="3" r:id="rId2"/>
    <sheet name="Hess and Brezowsky" sheetId="2" r:id="rId3"/>
  </sheets>
  <definedNames>
    <definedName name="_xlnm.Print_Titles" localSheetId="0">'Data availabiliy and weather 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6" i="1" l="1"/>
  <c r="F635" i="1"/>
  <c r="Q636" i="1"/>
  <c r="Q635" i="1"/>
  <c r="Q634" i="1"/>
  <c r="Q633" i="1"/>
  <c r="Q632" i="1"/>
  <c r="AK636" i="1"/>
  <c r="AJ636" i="1"/>
  <c r="AI636" i="1"/>
  <c r="AK635" i="1"/>
  <c r="AJ635" i="1"/>
  <c r="AI635" i="1"/>
  <c r="AK634" i="1"/>
  <c r="AJ634" i="1"/>
  <c r="AI634" i="1"/>
  <c r="AK633" i="1"/>
  <c r="AJ633" i="1"/>
  <c r="AI633" i="1"/>
  <c r="AK632" i="1"/>
  <c r="AJ632" i="1"/>
  <c r="AI632" i="1"/>
  <c r="AK631" i="1"/>
  <c r="AJ631" i="1"/>
  <c r="AI631" i="1"/>
  <c r="AK630" i="1"/>
  <c r="AJ630" i="1"/>
  <c r="AI630" i="1"/>
  <c r="AK629" i="1"/>
  <c r="AJ629" i="1"/>
  <c r="AI629" i="1"/>
  <c r="AK628" i="1"/>
  <c r="AJ628" i="1"/>
  <c r="AI628" i="1"/>
  <c r="AK627" i="1"/>
  <c r="AJ627" i="1"/>
  <c r="AI627" i="1"/>
  <c r="AK626" i="1"/>
  <c r="AJ626" i="1"/>
  <c r="AI626" i="1"/>
  <c r="AK625" i="1"/>
  <c r="AJ625" i="1"/>
  <c r="AI625" i="1"/>
  <c r="AK624" i="1"/>
  <c r="AJ624" i="1"/>
  <c r="AI624" i="1"/>
  <c r="AK623" i="1"/>
  <c r="AJ623" i="1"/>
  <c r="AI623" i="1"/>
  <c r="AK622" i="1"/>
  <c r="AJ622" i="1"/>
  <c r="AI622" i="1"/>
  <c r="AK621" i="1"/>
  <c r="AJ621" i="1"/>
  <c r="AI621" i="1"/>
  <c r="AK620" i="1"/>
  <c r="AJ620" i="1"/>
  <c r="AI620" i="1"/>
  <c r="AK619" i="1"/>
  <c r="AJ619" i="1"/>
  <c r="AI619" i="1"/>
  <c r="AK618" i="1"/>
  <c r="AJ618" i="1"/>
  <c r="AI618" i="1"/>
  <c r="AK617" i="1"/>
  <c r="AJ617" i="1"/>
  <c r="AI617" i="1"/>
  <c r="AK616" i="1"/>
  <c r="AJ616" i="1"/>
  <c r="AI616" i="1"/>
  <c r="AK615" i="1"/>
  <c r="AJ615" i="1"/>
  <c r="AI615" i="1"/>
  <c r="AK614" i="1"/>
  <c r="AJ614" i="1"/>
  <c r="AI614" i="1"/>
  <c r="AK613" i="1"/>
  <c r="AJ613" i="1"/>
  <c r="AI613" i="1"/>
  <c r="AK612" i="1"/>
  <c r="AJ612" i="1"/>
  <c r="AI612" i="1"/>
  <c r="AK611" i="1"/>
  <c r="AJ611" i="1"/>
  <c r="AI611" i="1"/>
  <c r="AK610" i="1"/>
  <c r="AJ610" i="1"/>
  <c r="AI610" i="1"/>
  <c r="AK609" i="1"/>
  <c r="AJ609" i="1"/>
  <c r="AI609" i="1"/>
  <c r="AK608" i="1"/>
  <c r="AJ608" i="1"/>
  <c r="AI608" i="1"/>
  <c r="AK607" i="1"/>
  <c r="AJ607" i="1"/>
  <c r="AI607" i="1"/>
  <c r="AK606" i="1"/>
  <c r="AJ606" i="1"/>
  <c r="AI606" i="1"/>
  <c r="AK605" i="1"/>
  <c r="AJ605" i="1"/>
  <c r="AI605" i="1"/>
  <c r="AK604" i="1"/>
  <c r="AJ604" i="1"/>
  <c r="AI604" i="1"/>
  <c r="AK603" i="1"/>
  <c r="AJ603" i="1"/>
  <c r="AI603" i="1"/>
  <c r="AK602" i="1"/>
  <c r="AJ602" i="1"/>
  <c r="AI602" i="1"/>
  <c r="AK601" i="1"/>
  <c r="AJ601" i="1"/>
  <c r="AI601" i="1"/>
  <c r="AK600" i="1"/>
  <c r="AJ600" i="1"/>
  <c r="AI600" i="1"/>
  <c r="AK599" i="1"/>
  <c r="AJ599" i="1"/>
  <c r="AI599" i="1"/>
  <c r="AK598" i="1"/>
  <c r="AJ598" i="1"/>
  <c r="AI598" i="1"/>
  <c r="AK597" i="1"/>
  <c r="AJ597" i="1"/>
  <c r="AI597" i="1"/>
  <c r="AK596" i="1"/>
  <c r="AJ596" i="1"/>
  <c r="AI596" i="1"/>
  <c r="AK595" i="1"/>
  <c r="AJ595" i="1"/>
  <c r="AI595" i="1"/>
  <c r="AK594" i="1"/>
  <c r="AJ594" i="1"/>
  <c r="AI594" i="1"/>
  <c r="AK593" i="1"/>
  <c r="AJ593" i="1"/>
  <c r="AI593" i="1"/>
  <c r="AK592" i="1"/>
  <c r="AJ592" i="1"/>
  <c r="AI592" i="1"/>
  <c r="AK591" i="1"/>
  <c r="AJ591" i="1"/>
  <c r="AI591" i="1"/>
  <c r="AK590" i="1"/>
  <c r="AJ590" i="1"/>
  <c r="AI590" i="1"/>
  <c r="AK589" i="1"/>
  <c r="AJ589" i="1"/>
  <c r="AI589" i="1"/>
  <c r="AK588" i="1"/>
  <c r="AJ588" i="1"/>
  <c r="AI588" i="1"/>
  <c r="AK587" i="1"/>
  <c r="AJ587" i="1"/>
  <c r="AI587" i="1"/>
  <c r="AK586" i="1"/>
  <c r="AJ586" i="1"/>
  <c r="AI586" i="1"/>
  <c r="AK585" i="1"/>
  <c r="AJ585" i="1"/>
  <c r="AI585" i="1"/>
  <c r="AK584" i="1"/>
  <c r="AJ584" i="1"/>
  <c r="AI584" i="1"/>
  <c r="AK583" i="1"/>
  <c r="AJ583" i="1"/>
  <c r="AI583" i="1"/>
  <c r="AK582" i="1"/>
  <c r="AJ582" i="1"/>
  <c r="AI582" i="1"/>
  <c r="AK581" i="1"/>
  <c r="AJ581" i="1"/>
  <c r="AI581" i="1"/>
  <c r="AK580" i="1"/>
  <c r="AJ580" i="1"/>
  <c r="AI580" i="1"/>
  <c r="AK579" i="1"/>
  <c r="AJ579" i="1"/>
  <c r="AI579" i="1"/>
  <c r="AK578" i="1"/>
  <c r="AJ578" i="1"/>
  <c r="AI578" i="1"/>
  <c r="AK577" i="1"/>
  <c r="AJ577" i="1"/>
  <c r="AI577" i="1"/>
  <c r="AK576" i="1"/>
  <c r="AJ576" i="1"/>
  <c r="AI576" i="1"/>
  <c r="AK575" i="1"/>
  <c r="AJ575" i="1"/>
  <c r="AI575" i="1"/>
  <c r="AK574" i="1"/>
  <c r="AJ574" i="1"/>
  <c r="AI574" i="1"/>
  <c r="AK573" i="1"/>
  <c r="AJ573" i="1"/>
  <c r="AI573" i="1"/>
  <c r="AK572" i="1"/>
  <c r="AJ572" i="1"/>
  <c r="AI572" i="1"/>
  <c r="AK571" i="1"/>
  <c r="AJ571" i="1"/>
  <c r="AI571" i="1"/>
  <c r="AK570" i="1"/>
  <c r="AJ570" i="1"/>
  <c r="AI570" i="1"/>
  <c r="AK569" i="1"/>
  <c r="AJ569" i="1"/>
  <c r="AI569" i="1"/>
  <c r="AK568" i="1"/>
  <c r="AJ568" i="1"/>
  <c r="AI568" i="1"/>
  <c r="AK567" i="1"/>
  <c r="AJ567" i="1"/>
  <c r="AI567" i="1"/>
  <c r="AK566" i="1"/>
  <c r="AJ566" i="1"/>
  <c r="AI566" i="1"/>
  <c r="AK565" i="1"/>
  <c r="AJ565" i="1"/>
  <c r="AI565" i="1"/>
  <c r="AK564" i="1"/>
  <c r="AJ564" i="1"/>
  <c r="AI564" i="1"/>
  <c r="AK563" i="1"/>
  <c r="AJ563" i="1"/>
  <c r="AI563" i="1"/>
  <c r="AK562" i="1"/>
  <c r="AJ562" i="1"/>
  <c r="AI562" i="1"/>
  <c r="AK561" i="1"/>
  <c r="AJ561" i="1"/>
  <c r="AI561" i="1"/>
  <c r="AK560" i="1"/>
  <c r="AJ560" i="1"/>
  <c r="AI560" i="1"/>
  <c r="AK559" i="1"/>
  <c r="AJ559" i="1"/>
  <c r="AI559" i="1"/>
  <c r="AK558" i="1"/>
  <c r="AJ558" i="1"/>
  <c r="AI558" i="1"/>
  <c r="AK557" i="1"/>
  <c r="AJ557" i="1"/>
  <c r="AI557" i="1"/>
  <c r="AK556" i="1"/>
  <c r="AJ556" i="1"/>
  <c r="AI556" i="1"/>
  <c r="AK555" i="1"/>
  <c r="AJ555" i="1"/>
  <c r="AI555" i="1"/>
  <c r="AK554" i="1"/>
  <c r="AJ554" i="1"/>
  <c r="AI554" i="1"/>
  <c r="AK553" i="1"/>
  <c r="AJ553" i="1"/>
  <c r="AI553" i="1"/>
  <c r="AK552" i="1"/>
  <c r="AJ552" i="1"/>
  <c r="AI552" i="1"/>
  <c r="AK551" i="1"/>
  <c r="AJ551" i="1"/>
  <c r="AI551" i="1"/>
  <c r="AK550" i="1"/>
  <c r="AJ550" i="1"/>
  <c r="AI550" i="1"/>
  <c r="AK549" i="1"/>
  <c r="AJ549" i="1"/>
  <c r="AI549" i="1"/>
  <c r="AK548" i="1"/>
  <c r="AJ548" i="1"/>
  <c r="AI548" i="1"/>
  <c r="AK547" i="1"/>
  <c r="AJ547" i="1"/>
  <c r="AI547" i="1"/>
  <c r="AK546" i="1"/>
  <c r="AJ546" i="1"/>
  <c r="AI546" i="1"/>
  <c r="AK545" i="1"/>
  <c r="AJ545" i="1"/>
  <c r="AI545" i="1"/>
  <c r="AK544" i="1"/>
  <c r="AJ544" i="1"/>
  <c r="AI544" i="1"/>
  <c r="AK543" i="1"/>
  <c r="AJ543" i="1"/>
  <c r="AI543" i="1"/>
  <c r="AK542" i="1"/>
  <c r="AJ542" i="1"/>
  <c r="AI542" i="1"/>
  <c r="AK541" i="1"/>
  <c r="AJ541" i="1"/>
  <c r="AI541" i="1"/>
  <c r="AK540" i="1"/>
  <c r="AJ540" i="1"/>
  <c r="AI540" i="1"/>
  <c r="AK539" i="1"/>
  <c r="AJ539" i="1"/>
  <c r="AI539" i="1"/>
  <c r="AK538" i="1"/>
  <c r="AJ538" i="1"/>
  <c r="AI538" i="1"/>
  <c r="AK537" i="1"/>
  <c r="AJ537" i="1"/>
  <c r="AI537" i="1"/>
  <c r="AK536" i="1"/>
  <c r="AJ536" i="1"/>
  <c r="AI536" i="1"/>
  <c r="AK535" i="1"/>
  <c r="AJ535" i="1"/>
  <c r="AI535" i="1"/>
  <c r="AK534" i="1"/>
  <c r="AJ534" i="1"/>
  <c r="AI534" i="1"/>
  <c r="AK533" i="1"/>
  <c r="AJ533" i="1"/>
  <c r="AI533" i="1"/>
  <c r="AK532" i="1"/>
  <c r="AJ532" i="1"/>
  <c r="AI532" i="1"/>
  <c r="AK531" i="1"/>
  <c r="AJ531" i="1"/>
  <c r="AI531" i="1"/>
  <c r="AK530" i="1"/>
  <c r="AJ530" i="1"/>
  <c r="AI530" i="1"/>
  <c r="AK529" i="1"/>
  <c r="AJ529" i="1"/>
  <c r="AI529" i="1"/>
  <c r="AK528" i="1"/>
  <c r="AJ528" i="1"/>
  <c r="AI528" i="1"/>
  <c r="AK527" i="1"/>
  <c r="AJ527" i="1"/>
  <c r="AI527" i="1"/>
  <c r="AK526" i="1"/>
  <c r="AJ526" i="1"/>
  <c r="AI526" i="1"/>
  <c r="AK525" i="1"/>
  <c r="AJ525" i="1"/>
  <c r="AI525" i="1"/>
  <c r="AK524" i="1"/>
  <c r="AJ524" i="1"/>
  <c r="AI524" i="1"/>
  <c r="AK523" i="1"/>
  <c r="AJ523" i="1"/>
  <c r="AI523" i="1"/>
  <c r="AK522" i="1"/>
  <c r="AJ522" i="1"/>
  <c r="AI522" i="1"/>
  <c r="AK521" i="1"/>
  <c r="AJ521" i="1"/>
  <c r="AI521" i="1"/>
  <c r="AK520" i="1"/>
  <c r="AJ520" i="1"/>
  <c r="AI520" i="1"/>
  <c r="AK519" i="1"/>
  <c r="AJ519" i="1"/>
  <c r="AI519" i="1"/>
  <c r="AK518" i="1"/>
  <c r="AJ518" i="1"/>
  <c r="AI518" i="1"/>
  <c r="AK517" i="1"/>
  <c r="AJ517" i="1"/>
  <c r="AI517" i="1"/>
  <c r="AK516" i="1"/>
  <c r="AJ516" i="1"/>
  <c r="AI516" i="1"/>
  <c r="AK515" i="1"/>
  <c r="AJ515" i="1"/>
  <c r="AI515" i="1"/>
  <c r="AK514" i="1"/>
  <c r="AJ514" i="1"/>
  <c r="AI514" i="1"/>
  <c r="AK513" i="1"/>
  <c r="AJ513" i="1"/>
  <c r="AI513" i="1"/>
  <c r="AK512" i="1"/>
  <c r="AJ512" i="1"/>
  <c r="AI512" i="1"/>
  <c r="AK511" i="1"/>
  <c r="AJ511" i="1"/>
  <c r="AI511" i="1"/>
  <c r="AK510" i="1"/>
  <c r="AJ510" i="1"/>
  <c r="AI510" i="1"/>
  <c r="AK509" i="1"/>
  <c r="AJ509" i="1"/>
  <c r="AI509" i="1"/>
  <c r="AK508" i="1"/>
  <c r="AJ508" i="1"/>
  <c r="AI508" i="1"/>
  <c r="AK507" i="1"/>
  <c r="AJ507" i="1"/>
  <c r="AI507" i="1"/>
  <c r="AK506" i="1"/>
  <c r="AJ506" i="1"/>
  <c r="AI506" i="1"/>
  <c r="AK505" i="1"/>
  <c r="AJ505" i="1"/>
  <c r="AI505" i="1"/>
  <c r="AK504" i="1"/>
  <c r="AJ504" i="1"/>
  <c r="AI504" i="1"/>
  <c r="AK503" i="1"/>
  <c r="AJ503" i="1"/>
  <c r="AI503" i="1"/>
  <c r="AK502" i="1"/>
  <c r="AJ502" i="1"/>
  <c r="AI502" i="1"/>
  <c r="AK501" i="1"/>
  <c r="AJ501" i="1"/>
  <c r="AI501" i="1"/>
  <c r="AK500" i="1"/>
  <c r="AJ500" i="1"/>
  <c r="AI500" i="1"/>
  <c r="AK499" i="1"/>
  <c r="AJ499" i="1"/>
  <c r="AI499" i="1"/>
  <c r="AK498" i="1"/>
  <c r="AJ498" i="1"/>
  <c r="AI498" i="1"/>
  <c r="AK497" i="1"/>
  <c r="AJ497" i="1"/>
  <c r="AI497" i="1"/>
  <c r="AK496" i="1"/>
  <c r="AJ496" i="1"/>
  <c r="AI496" i="1"/>
  <c r="AK495" i="1"/>
  <c r="AJ495" i="1"/>
  <c r="AI495" i="1"/>
  <c r="AK494" i="1"/>
  <c r="AJ494" i="1"/>
  <c r="AI494" i="1"/>
  <c r="AK493" i="1"/>
  <c r="AJ493" i="1"/>
  <c r="AI493" i="1"/>
  <c r="AK492" i="1"/>
  <c r="AJ492" i="1"/>
  <c r="AI492" i="1"/>
  <c r="AK491" i="1"/>
  <c r="AJ491" i="1"/>
  <c r="AI491" i="1"/>
  <c r="AK490" i="1"/>
  <c r="AJ490" i="1"/>
  <c r="AI490" i="1"/>
  <c r="AK489" i="1"/>
  <c r="AJ489" i="1"/>
  <c r="AI489" i="1"/>
  <c r="AK488" i="1"/>
  <c r="AJ488" i="1"/>
  <c r="AI488" i="1"/>
  <c r="AK487" i="1"/>
  <c r="AJ487" i="1"/>
  <c r="AI487" i="1"/>
  <c r="AK486" i="1"/>
  <c r="AJ486" i="1"/>
  <c r="AI486" i="1"/>
  <c r="AK485" i="1"/>
  <c r="AJ485" i="1"/>
  <c r="AI485" i="1"/>
  <c r="AK484" i="1"/>
  <c r="AJ484" i="1"/>
  <c r="AI484" i="1"/>
  <c r="AK483" i="1"/>
  <c r="AJ483" i="1"/>
  <c r="AI483" i="1"/>
  <c r="AK482" i="1"/>
  <c r="AJ482" i="1"/>
  <c r="AI482" i="1"/>
  <c r="AK481" i="1"/>
  <c r="AJ481" i="1"/>
  <c r="AI481" i="1"/>
  <c r="AK480" i="1"/>
  <c r="AJ480" i="1"/>
  <c r="AI480" i="1"/>
  <c r="AK479" i="1"/>
  <c r="AJ479" i="1"/>
  <c r="AI479" i="1"/>
  <c r="AK478" i="1"/>
  <c r="AJ478" i="1"/>
  <c r="AI478" i="1"/>
  <c r="AK477" i="1"/>
  <c r="AJ477" i="1"/>
  <c r="AI477" i="1"/>
  <c r="AK476" i="1"/>
  <c r="AJ476" i="1"/>
  <c r="AI476" i="1"/>
  <c r="AK475" i="1"/>
  <c r="AJ475" i="1"/>
  <c r="AI475" i="1"/>
  <c r="AK474" i="1"/>
  <c r="AJ474" i="1"/>
  <c r="AI474" i="1"/>
  <c r="AK473" i="1"/>
  <c r="AJ473" i="1"/>
  <c r="AI473" i="1"/>
  <c r="AK472" i="1"/>
  <c r="AJ472" i="1"/>
  <c r="AI472" i="1"/>
  <c r="AK471" i="1"/>
  <c r="AJ471" i="1"/>
  <c r="AI471" i="1"/>
  <c r="AK470" i="1"/>
  <c r="AJ470" i="1"/>
  <c r="AI470" i="1"/>
  <c r="AK469" i="1"/>
  <c r="AJ469" i="1"/>
  <c r="AI469" i="1"/>
  <c r="AK468" i="1"/>
  <c r="AJ468" i="1"/>
  <c r="AI468" i="1"/>
  <c r="AK467" i="1"/>
  <c r="AJ467" i="1"/>
  <c r="AI467" i="1"/>
  <c r="AK466" i="1"/>
  <c r="AJ466" i="1"/>
  <c r="AI466" i="1"/>
  <c r="AK465" i="1"/>
  <c r="AJ465" i="1"/>
  <c r="AI465" i="1"/>
  <c r="AK464" i="1"/>
  <c r="AJ464" i="1"/>
  <c r="AI464" i="1"/>
  <c r="AK463" i="1"/>
  <c r="AJ463" i="1"/>
  <c r="AI463" i="1"/>
  <c r="AK462" i="1"/>
  <c r="AJ462" i="1"/>
  <c r="AI462" i="1"/>
  <c r="AK461" i="1"/>
  <c r="AJ461" i="1"/>
  <c r="AI461" i="1"/>
  <c r="AK460" i="1"/>
  <c r="AJ460" i="1"/>
  <c r="AI460" i="1"/>
  <c r="AK459" i="1"/>
  <c r="AJ459" i="1"/>
  <c r="AI459" i="1"/>
  <c r="AK458" i="1"/>
  <c r="AJ458" i="1"/>
  <c r="AI458" i="1"/>
  <c r="AK457" i="1"/>
  <c r="AJ457" i="1"/>
  <c r="AI457" i="1"/>
  <c r="AK456" i="1"/>
  <c r="AJ456" i="1"/>
  <c r="AI456" i="1"/>
  <c r="AK455" i="1"/>
  <c r="AJ455" i="1"/>
  <c r="AI455" i="1"/>
  <c r="AK454" i="1"/>
  <c r="AJ454" i="1"/>
  <c r="AI454" i="1"/>
  <c r="AK453" i="1"/>
  <c r="AJ453" i="1"/>
  <c r="AI453" i="1"/>
  <c r="AK452" i="1"/>
  <c r="AJ452" i="1"/>
  <c r="AI452" i="1"/>
  <c r="AK451" i="1"/>
  <c r="AJ451" i="1"/>
  <c r="AI451" i="1"/>
  <c r="AK450" i="1"/>
  <c r="AJ450" i="1"/>
  <c r="AI450" i="1"/>
  <c r="AK449" i="1"/>
  <c r="AJ449" i="1"/>
  <c r="AI449" i="1"/>
  <c r="AK448" i="1"/>
  <c r="AJ448" i="1"/>
  <c r="AI448" i="1"/>
  <c r="AK447" i="1"/>
  <c r="AJ447" i="1"/>
  <c r="AI447" i="1"/>
  <c r="AK446" i="1"/>
  <c r="AJ446" i="1"/>
  <c r="AI446" i="1"/>
  <c r="AK445" i="1"/>
  <c r="AJ445" i="1"/>
  <c r="AI445" i="1"/>
  <c r="AK444" i="1"/>
  <c r="AJ444" i="1"/>
  <c r="AI444" i="1"/>
  <c r="AK443" i="1"/>
  <c r="AJ443" i="1"/>
  <c r="AI443" i="1"/>
  <c r="AK442" i="1"/>
  <c r="AJ442" i="1"/>
  <c r="AI442" i="1"/>
  <c r="AK441" i="1"/>
  <c r="AJ441" i="1"/>
  <c r="AI441" i="1"/>
  <c r="AK440" i="1"/>
  <c r="AJ440" i="1"/>
  <c r="AI440" i="1"/>
  <c r="AK439" i="1"/>
  <c r="AJ439" i="1"/>
  <c r="AI439" i="1"/>
  <c r="AK438" i="1"/>
  <c r="AJ438" i="1"/>
  <c r="AI438" i="1"/>
  <c r="AK437" i="1"/>
  <c r="AJ437" i="1"/>
  <c r="AI437" i="1"/>
  <c r="AK436" i="1"/>
  <c r="AJ436" i="1"/>
  <c r="AI436" i="1"/>
  <c r="AK435" i="1"/>
  <c r="AJ435" i="1"/>
  <c r="AI435" i="1"/>
  <c r="AK434" i="1"/>
  <c r="AJ434" i="1"/>
  <c r="AI434" i="1"/>
  <c r="AK433" i="1"/>
  <c r="AJ433" i="1"/>
  <c r="AI433" i="1"/>
  <c r="AK432" i="1"/>
  <c r="AJ432" i="1"/>
  <c r="AI432" i="1"/>
  <c r="AK431" i="1"/>
  <c r="AJ431" i="1"/>
  <c r="AI431" i="1"/>
  <c r="AK430" i="1"/>
  <c r="AJ430" i="1"/>
  <c r="AI430" i="1"/>
  <c r="AK429" i="1"/>
  <c r="AJ429" i="1"/>
  <c r="AI429" i="1"/>
  <c r="AK428" i="1"/>
  <c r="AJ428" i="1"/>
  <c r="AI428" i="1"/>
  <c r="AK427" i="1"/>
  <c r="AJ427" i="1"/>
  <c r="AI427" i="1"/>
  <c r="AK426" i="1"/>
  <c r="AJ426" i="1"/>
  <c r="AI426" i="1"/>
  <c r="AK425" i="1"/>
  <c r="AJ425" i="1"/>
  <c r="AI425" i="1"/>
  <c r="AK424" i="1"/>
  <c r="AJ424" i="1"/>
  <c r="AI424" i="1"/>
  <c r="AK423" i="1"/>
  <c r="AJ423" i="1"/>
  <c r="AI423" i="1"/>
  <c r="AK422" i="1"/>
  <c r="AJ422" i="1"/>
  <c r="AI422" i="1"/>
  <c r="AK421" i="1"/>
  <c r="AJ421" i="1"/>
  <c r="AI421" i="1"/>
  <c r="AK420" i="1"/>
  <c r="AJ420" i="1"/>
  <c r="AI420" i="1"/>
  <c r="AK419" i="1"/>
  <c r="AJ419" i="1"/>
  <c r="AI419" i="1"/>
  <c r="AK418" i="1"/>
  <c r="AJ418" i="1"/>
  <c r="AI418" i="1"/>
  <c r="AK417" i="1"/>
  <c r="AJ417" i="1"/>
  <c r="AI417" i="1"/>
  <c r="AK416" i="1"/>
  <c r="AJ416" i="1"/>
  <c r="AI416" i="1"/>
  <c r="AK415" i="1"/>
  <c r="AJ415" i="1"/>
  <c r="AI415" i="1"/>
  <c r="AK414" i="1"/>
  <c r="AJ414" i="1"/>
  <c r="AI414" i="1"/>
  <c r="AK413" i="1"/>
  <c r="AJ413" i="1"/>
  <c r="AI413" i="1"/>
  <c r="AK412" i="1"/>
  <c r="AJ412" i="1"/>
  <c r="AI412" i="1"/>
  <c r="AK411" i="1"/>
  <c r="AJ411" i="1"/>
  <c r="AI411" i="1"/>
  <c r="AK410" i="1"/>
  <c r="AJ410" i="1"/>
  <c r="AI410" i="1"/>
  <c r="AK409" i="1"/>
  <c r="AJ409" i="1"/>
  <c r="AI409" i="1"/>
  <c r="AK408" i="1"/>
  <c r="AJ408" i="1"/>
  <c r="AI408" i="1"/>
  <c r="AK407" i="1"/>
  <c r="AJ407" i="1"/>
  <c r="AI407" i="1"/>
  <c r="AK406" i="1"/>
  <c r="AJ406" i="1"/>
  <c r="AI406" i="1"/>
  <c r="AK405" i="1"/>
  <c r="AJ405" i="1"/>
  <c r="AI405" i="1"/>
  <c r="AK404" i="1"/>
  <c r="AJ404" i="1"/>
  <c r="AI404" i="1"/>
  <c r="AK403" i="1"/>
  <c r="AJ403" i="1"/>
  <c r="AI403" i="1"/>
  <c r="AK402" i="1"/>
  <c r="AJ402" i="1"/>
  <c r="AI402" i="1"/>
  <c r="AK401" i="1"/>
  <c r="AJ401" i="1"/>
  <c r="AI401" i="1"/>
  <c r="AK400" i="1"/>
  <c r="AJ400" i="1"/>
  <c r="AI400" i="1"/>
  <c r="AK399" i="1"/>
  <c r="AJ399" i="1"/>
  <c r="AI399" i="1"/>
  <c r="AK398" i="1"/>
  <c r="AJ398" i="1"/>
  <c r="AI398" i="1"/>
  <c r="AK397" i="1"/>
  <c r="AJ397" i="1"/>
  <c r="AI397" i="1"/>
  <c r="AK396" i="1"/>
  <c r="AJ396" i="1"/>
  <c r="AI396" i="1"/>
  <c r="AK395" i="1"/>
  <c r="AJ395" i="1"/>
  <c r="AI395" i="1"/>
  <c r="AK394" i="1"/>
  <c r="AJ394" i="1"/>
  <c r="AI394" i="1"/>
  <c r="AK393" i="1"/>
  <c r="AJ393" i="1"/>
  <c r="AI393" i="1"/>
  <c r="AK392" i="1"/>
  <c r="AJ392" i="1"/>
  <c r="AI392" i="1"/>
  <c r="AK391" i="1"/>
  <c r="AJ391" i="1"/>
  <c r="AI391" i="1"/>
  <c r="AK390" i="1"/>
  <c r="AJ390" i="1"/>
  <c r="AI390" i="1"/>
  <c r="AK389" i="1"/>
  <c r="AJ389" i="1"/>
  <c r="AI389" i="1"/>
  <c r="AK388" i="1"/>
  <c r="AJ388" i="1"/>
  <c r="AI388" i="1"/>
  <c r="AK387" i="1"/>
  <c r="AJ387" i="1"/>
  <c r="AI387" i="1"/>
  <c r="AK386" i="1"/>
  <c r="AJ386" i="1"/>
  <c r="AI386" i="1"/>
  <c r="AK385" i="1"/>
  <c r="AJ385" i="1"/>
  <c r="AI385" i="1"/>
  <c r="AK384" i="1"/>
  <c r="AJ384" i="1"/>
  <c r="AI384" i="1"/>
  <c r="AK383" i="1"/>
  <c r="AJ383" i="1"/>
  <c r="AI383" i="1"/>
  <c r="AK382" i="1"/>
  <c r="AJ382" i="1"/>
  <c r="AI382" i="1"/>
  <c r="AK381" i="1"/>
  <c r="AJ381" i="1"/>
  <c r="AI381" i="1"/>
  <c r="AK380" i="1"/>
  <c r="AJ380" i="1"/>
  <c r="AI380" i="1"/>
  <c r="AK379" i="1"/>
  <c r="AJ379" i="1"/>
  <c r="AI379" i="1"/>
  <c r="AK378" i="1"/>
  <c r="AJ378" i="1"/>
  <c r="AI378" i="1"/>
  <c r="AK377" i="1"/>
  <c r="AJ377" i="1"/>
  <c r="AI377" i="1"/>
  <c r="AK376" i="1"/>
  <c r="AJ376" i="1"/>
  <c r="AI376" i="1"/>
  <c r="AK375" i="1"/>
  <c r="AJ375" i="1"/>
  <c r="AI375" i="1"/>
  <c r="AK374" i="1"/>
  <c r="AJ374" i="1"/>
  <c r="AI374" i="1"/>
  <c r="AK373" i="1"/>
  <c r="AJ373" i="1"/>
  <c r="AI373" i="1"/>
  <c r="AK372" i="1"/>
  <c r="AJ372" i="1"/>
  <c r="AI372" i="1"/>
  <c r="AK371" i="1"/>
  <c r="AJ371" i="1"/>
  <c r="AI371" i="1"/>
  <c r="AK370" i="1"/>
  <c r="AJ370" i="1"/>
  <c r="AI370" i="1"/>
  <c r="AK369" i="1"/>
  <c r="AJ369" i="1"/>
  <c r="AI369" i="1"/>
  <c r="AK368" i="1"/>
  <c r="AJ368" i="1"/>
  <c r="AI368" i="1"/>
  <c r="AK367" i="1"/>
  <c r="AJ367" i="1"/>
  <c r="AI367" i="1"/>
  <c r="AK366" i="1"/>
  <c r="AJ366" i="1"/>
  <c r="AI366" i="1"/>
  <c r="AK365" i="1"/>
  <c r="AJ365" i="1"/>
  <c r="AI365" i="1"/>
  <c r="AK364" i="1"/>
  <c r="AJ364" i="1"/>
  <c r="AI364" i="1"/>
  <c r="AK363" i="1"/>
  <c r="AJ363" i="1"/>
  <c r="AI363" i="1"/>
  <c r="AK362" i="1"/>
  <c r="AJ362" i="1"/>
  <c r="AI362" i="1"/>
  <c r="AK361" i="1"/>
  <c r="AJ361" i="1"/>
  <c r="AI361" i="1"/>
  <c r="AK360" i="1"/>
  <c r="AJ360" i="1"/>
  <c r="AI360" i="1"/>
  <c r="AK359" i="1"/>
  <c r="AJ359" i="1"/>
  <c r="AI359" i="1"/>
  <c r="AK358" i="1"/>
  <c r="AJ358" i="1"/>
  <c r="AI358" i="1"/>
  <c r="AK357" i="1"/>
  <c r="AJ357" i="1"/>
  <c r="AI357" i="1"/>
  <c r="AK356" i="1"/>
  <c r="AJ356" i="1"/>
  <c r="AI356" i="1"/>
  <c r="AK355" i="1"/>
  <c r="AJ355" i="1"/>
  <c r="AI355" i="1"/>
  <c r="AK354" i="1"/>
  <c r="AJ354" i="1"/>
  <c r="AI354" i="1"/>
  <c r="AK353" i="1"/>
  <c r="AJ353" i="1"/>
  <c r="AI353" i="1"/>
  <c r="AK352" i="1"/>
  <c r="AJ352" i="1"/>
  <c r="AI352" i="1"/>
  <c r="AK351" i="1"/>
  <c r="AJ351" i="1"/>
  <c r="AI351" i="1"/>
  <c r="AK350" i="1"/>
  <c r="AJ350" i="1"/>
  <c r="AI350" i="1"/>
  <c r="AK349" i="1"/>
  <c r="AJ349" i="1"/>
  <c r="AI349" i="1"/>
  <c r="AK348" i="1"/>
  <c r="AJ348" i="1"/>
  <c r="AI348" i="1"/>
  <c r="AK347" i="1"/>
  <c r="AJ347" i="1"/>
  <c r="AI347" i="1"/>
  <c r="AK346" i="1"/>
  <c r="AJ346" i="1"/>
  <c r="AI346" i="1"/>
  <c r="AK345" i="1"/>
  <c r="AJ345" i="1"/>
  <c r="AI345" i="1"/>
  <c r="AK344" i="1"/>
  <c r="AJ344" i="1"/>
  <c r="AI344" i="1"/>
  <c r="AK343" i="1"/>
  <c r="AJ343" i="1"/>
  <c r="AI343" i="1"/>
  <c r="AK342" i="1"/>
  <c r="AJ342" i="1"/>
  <c r="AI342" i="1"/>
  <c r="AK341" i="1"/>
  <c r="AJ341" i="1"/>
  <c r="AI341" i="1"/>
  <c r="AK340" i="1"/>
  <c r="AJ340" i="1"/>
  <c r="AI340" i="1"/>
  <c r="AK339" i="1"/>
  <c r="AJ339" i="1"/>
  <c r="AI339" i="1"/>
  <c r="AK338" i="1"/>
  <c r="AJ338" i="1"/>
  <c r="AI338" i="1"/>
  <c r="AK337" i="1"/>
  <c r="AJ337" i="1"/>
  <c r="AI337" i="1"/>
  <c r="AK336" i="1"/>
  <c r="AJ336" i="1"/>
  <c r="AI336" i="1"/>
  <c r="AK335" i="1"/>
  <c r="AJ335" i="1"/>
  <c r="AI335" i="1"/>
  <c r="AK334" i="1"/>
  <c r="AJ334" i="1"/>
  <c r="AI334" i="1"/>
  <c r="AK333" i="1"/>
  <c r="AJ333" i="1"/>
  <c r="AI333" i="1"/>
  <c r="AK332" i="1"/>
  <c r="AJ332" i="1"/>
  <c r="AI332" i="1"/>
  <c r="AK331" i="1"/>
  <c r="AJ331" i="1"/>
  <c r="AI331" i="1"/>
  <c r="AK330" i="1"/>
  <c r="AJ330" i="1"/>
  <c r="AI330" i="1"/>
  <c r="AK329" i="1"/>
  <c r="AJ329" i="1"/>
  <c r="AI329" i="1"/>
  <c r="AK328" i="1"/>
  <c r="AJ328" i="1"/>
  <c r="AI328" i="1"/>
  <c r="AK327" i="1"/>
  <c r="AJ327" i="1"/>
  <c r="AI327" i="1"/>
  <c r="AK326" i="1"/>
  <c r="AJ326" i="1"/>
  <c r="AI326" i="1"/>
  <c r="AK325" i="1"/>
  <c r="AJ325" i="1"/>
  <c r="AI325" i="1"/>
  <c r="AK324" i="1"/>
  <c r="AJ324" i="1"/>
  <c r="AI324" i="1"/>
  <c r="AK323" i="1"/>
  <c r="AJ323" i="1"/>
  <c r="AI323" i="1"/>
  <c r="AK322" i="1"/>
  <c r="AJ322" i="1"/>
  <c r="AI322" i="1"/>
  <c r="AK321" i="1"/>
  <c r="AJ321" i="1"/>
  <c r="AI321" i="1"/>
  <c r="AK320" i="1"/>
  <c r="AJ320" i="1"/>
  <c r="AI320" i="1"/>
  <c r="AK319" i="1"/>
  <c r="AJ319" i="1"/>
  <c r="AI319" i="1"/>
  <c r="AK318" i="1"/>
  <c r="AJ318" i="1"/>
  <c r="AI318" i="1"/>
  <c r="AK317" i="1"/>
  <c r="AJ317" i="1"/>
  <c r="AI317" i="1"/>
  <c r="AK316" i="1"/>
  <c r="AJ316" i="1"/>
  <c r="AI316" i="1"/>
  <c r="AK315" i="1"/>
  <c r="AJ315" i="1"/>
  <c r="AI315" i="1"/>
  <c r="AK314" i="1"/>
  <c r="AJ314" i="1"/>
  <c r="AI314" i="1"/>
  <c r="AK313" i="1"/>
  <c r="AJ313" i="1"/>
  <c r="AI313" i="1"/>
  <c r="AK312" i="1"/>
  <c r="AJ312" i="1"/>
  <c r="AI312" i="1"/>
  <c r="AK311" i="1"/>
  <c r="AJ311" i="1"/>
  <c r="AI311" i="1"/>
  <c r="AK310" i="1"/>
  <c r="AJ310" i="1"/>
  <c r="AI310" i="1"/>
  <c r="AK309" i="1"/>
  <c r="AJ309" i="1"/>
  <c r="AI309" i="1"/>
  <c r="AK308" i="1"/>
  <c r="AJ308" i="1"/>
  <c r="AI308" i="1"/>
  <c r="AK307" i="1"/>
  <c r="AJ307" i="1"/>
  <c r="AI307" i="1"/>
  <c r="AK306" i="1"/>
  <c r="AJ306" i="1"/>
  <c r="AI306" i="1"/>
  <c r="AK305" i="1"/>
  <c r="AJ305" i="1"/>
  <c r="AI305" i="1"/>
  <c r="AK304" i="1"/>
  <c r="AJ304" i="1"/>
  <c r="AI304" i="1"/>
  <c r="AK303" i="1"/>
  <c r="AJ303" i="1"/>
  <c r="AI303" i="1"/>
  <c r="AK302" i="1"/>
  <c r="AJ302" i="1"/>
  <c r="AI302" i="1"/>
  <c r="AK301" i="1"/>
  <c r="AJ301" i="1"/>
  <c r="AI301" i="1"/>
  <c r="AK300" i="1"/>
  <c r="AJ300" i="1"/>
  <c r="AI300" i="1"/>
  <c r="AK299" i="1"/>
  <c r="AJ299" i="1"/>
  <c r="AI299" i="1"/>
  <c r="AK298" i="1"/>
  <c r="AJ298" i="1"/>
  <c r="AI298" i="1"/>
  <c r="AK297" i="1"/>
  <c r="AJ297" i="1"/>
  <c r="AI297" i="1"/>
  <c r="AK296" i="1"/>
  <c r="AJ296" i="1"/>
  <c r="AI296" i="1"/>
  <c r="AK295" i="1"/>
  <c r="AJ295" i="1"/>
  <c r="AI295" i="1"/>
  <c r="AK294" i="1"/>
  <c r="AJ294" i="1"/>
  <c r="AI294" i="1"/>
  <c r="AK293" i="1"/>
  <c r="AJ293" i="1"/>
  <c r="AI293" i="1"/>
  <c r="AK292" i="1"/>
  <c r="AJ292" i="1"/>
  <c r="AI292" i="1"/>
  <c r="AK291" i="1"/>
  <c r="AJ291" i="1"/>
  <c r="AI291" i="1"/>
  <c r="AK290" i="1"/>
  <c r="AJ290" i="1"/>
  <c r="AI290" i="1"/>
  <c r="AK289" i="1"/>
  <c r="AJ289" i="1"/>
  <c r="AI289" i="1"/>
  <c r="AK288" i="1"/>
  <c r="AJ288" i="1"/>
  <c r="AI288" i="1"/>
  <c r="AK287" i="1"/>
  <c r="AJ287" i="1"/>
  <c r="AI287" i="1"/>
  <c r="AK286" i="1"/>
  <c r="AJ286" i="1"/>
  <c r="AI286" i="1"/>
  <c r="AK285" i="1"/>
  <c r="AJ285" i="1"/>
  <c r="AI285" i="1"/>
  <c r="AK284" i="1"/>
  <c r="AJ284" i="1"/>
  <c r="AI284" i="1"/>
  <c r="AK283" i="1"/>
  <c r="AJ283" i="1"/>
  <c r="AI283" i="1"/>
  <c r="AK282" i="1"/>
  <c r="AJ282" i="1"/>
  <c r="AI282" i="1"/>
  <c r="AK281" i="1"/>
  <c r="AJ281" i="1"/>
  <c r="AI281" i="1"/>
  <c r="AK280" i="1"/>
  <c r="AJ280" i="1"/>
  <c r="AI280" i="1"/>
  <c r="AK279" i="1"/>
  <c r="AJ279" i="1"/>
  <c r="AI279" i="1"/>
  <c r="AK278" i="1"/>
  <c r="AJ278" i="1"/>
  <c r="AI278" i="1"/>
  <c r="AK277" i="1"/>
  <c r="AJ277" i="1"/>
  <c r="AI277" i="1"/>
  <c r="AK276" i="1"/>
  <c r="AJ276" i="1"/>
  <c r="AI276" i="1"/>
  <c r="AK275" i="1"/>
  <c r="AJ275" i="1"/>
  <c r="AI275" i="1"/>
  <c r="AK274" i="1"/>
  <c r="AJ274" i="1"/>
  <c r="AI274" i="1"/>
  <c r="AK273" i="1"/>
  <c r="AJ273" i="1"/>
  <c r="AI273" i="1"/>
  <c r="AK272" i="1"/>
  <c r="AJ272" i="1"/>
  <c r="AI272" i="1"/>
  <c r="AK271" i="1"/>
  <c r="AJ271" i="1"/>
  <c r="AI271" i="1"/>
  <c r="AK270" i="1"/>
  <c r="AJ270" i="1"/>
  <c r="AI270" i="1"/>
  <c r="AK269" i="1"/>
  <c r="AJ269" i="1"/>
  <c r="AI269" i="1"/>
  <c r="AK268" i="1"/>
  <c r="AJ268" i="1"/>
  <c r="AI268" i="1"/>
  <c r="AK267" i="1"/>
  <c r="AJ267" i="1"/>
  <c r="AI267" i="1"/>
  <c r="AK266" i="1"/>
  <c r="AJ266" i="1"/>
  <c r="AI266" i="1"/>
  <c r="AK265" i="1"/>
  <c r="AJ265" i="1"/>
  <c r="AI265" i="1"/>
  <c r="AK264" i="1"/>
  <c r="AJ264" i="1"/>
  <c r="AI264" i="1"/>
  <c r="AK263" i="1"/>
  <c r="AJ263" i="1"/>
  <c r="AI263" i="1"/>
  <c r="AK262" i="1"/>
  <c r="AJ262" i="1"/>
  <c r="AI262" i="1"/>
  <c r="AK261" i="1"/>
  <c r="AJ261" i="1"/>
  <c r="AI261" i="1"/>
  <c r="AK260" i="1"/>
  <c r="AJ260" i="1"/>
  <c r="AI260" i="1"/>
  <c r="AK259" i="1"/>
  <c r="AJ259" i="1"/>
  <c r="AI259" i="1"/>
  <c r="AK258" i="1"/>
  <c r="AJ258" i="1"/>
  <c r="AI258" i="1"/>
  <c r="AK257" i="1"/>
  <c r="AJ257" i="1"/>
  <c r="AI257" i="1"/>
  <c r="AK256" i="1"/>
  <c r="AJ256" i="1"/>
  <c r="AI256" i="1"/>
  <c r="AK255" i="1"/>
  <c r="AJ255" i="1"/>
  <c r="AI255" i="1"/>
  <c r="AK254" i="1"/>
  <c r="AJ254" i="1"/>
  <c r="AI254" i="1"/>
  <c r="AK253" i="1"/>
  <c r="AJ253" i="1"/>
  <c r="AI253" i="1"/>
  <c r="AK252" i="1"/>
  <c r="AJ252" i="1"/>
  <c r="AI252" i="1"/>
  <c r="AK251" i="1"/>
  <c r="AJ251" i="1"/>
  <c r="AI251" i="1"/>
  <c r="AK250" i="1"/>
  <c r="AJ250" i="1"/>
  <c r="AI250" i="1"/>
  <c r="AK249" i="1"/>
  <c r="AJ249" i="1"/>
  <c r="AI249" i="1"/>
  <c r="AK248" i="1"/>
  <c r="AJ248" i="1"/>
  <c r="AI248" i="1"/>
  <c r="AK247" i="1"/>
  <c r="AJ247" i="1"/>
  <c r="AI247" i="1"/>
  <c r="AK246" i="1"/>
  <c r="AJ246" i="1"/>
  <c r="AI246" i="1"/>
  <c r="AK245" i="1"/>
  <c r="AJ245" i="1"/>
  <c r="AI245" i="1"/>
  <c r="AK244" i="1"/>
  <c r="AJ244" i="1"/>
  <c r="AI244" i="1"/>
  <c r="AK243" i="1"/>
  <c r="AJ243" i="1"/>
  <c r="AI243" i="1"/>
  <c r="AK242" i="1"/>
  <c r="AJ242" i="1"/>
  <c r="AI242" i="1"/>
  <c r="AK241" i="1"/>
  <c r="AJ241" i="1"/>
  <c r="AI241" i="1"/>
  <c r="AK240" i="1"/>
  <c r="AJ240" i="1"/>
  <c r="AI240" i="1"/>
  <c r="AK239" i="1"/>
  <c r="AJ239" i="1"/>
  <c r="AI239" i="1"/>
  <c r="AK238" i="1"/>
  <c r="AJ238" i="1"/>
  <c r="AI238" i="1"/>
  <c r="AK237" i="1"/>
  <c r="AJ237" i="1"/>
  <c r="AI237" i="1"/>
  <c r="AK236" i="1"/>
  <c r="AJ236" i="1"/>
  <c r="AI236" i="1"/>
  <c r="AK235" i="1"/>
  <c r="AJ235" i="1"/>
  <c r="AI235" i="1"/>
  <c r="AK234" i="1"/>
  <c r="AJ234" i="1"/>
  <c r="AI234" i="1"/>
  <c r="AK233" i="1"/>
  <c r="AJ233" i="1"/>
  <c r="AI233" i="1"/>
  <c r="AK232" i="1"/>
  <c r="AJ232" i="1"/>
  <c r="AI232" i="1"/>
  <c r="AK231" i="1"/>
  <c r="AJ231" i="1"/>
  <c r="AI231" i="1"/>
  <c r="AK230" i="1"/>
  <c r="AJ230" i="1"/>
  <c r="AI230" i="1"/>
  <c r="AK229" i="1"/>
  <c r="AJ229" i="1"/>
  <c r="AI229" i="1"/>
  <c r="AK228" i="1"/>
  <c r="AJ228" i="1"/>
  <c r="AI228" i="1"/>
  <c r="AK227" i="1"/>
  <c r="AJ227" i="1"/>
  <c r="AI227" i="1"/>
  <c r="AK226" i="1"/>
  <c r="AJ226" i="1"/>
  <c r="AI226" i="1"/>
  <c r="AK225" i="1"/>
  <c r="AJ225" i="1"/>
  <c r="AI225" i="1"/>
  <c r="AK224" i="1"/>
  <c r="AJ224" i="1"/>
  <c r="AI224" i="1"/>
  <c r="AK223" i="1"/>
  <c r="AJ223" i="1"/>
  <c r="AI223" i="1"/>
  <c r="AK222" i="1"/>
  <c r="AJ222" i="1"/>
  <c r="AI222" i="1"/>
  <c r="AK221" i="1"/>
  <c r="AJ221" i="1"/>
  <c r="AI221" i="1"/>
  <c r="AK220" i="1"/>
  <c r="AJ220" i="1"/>
  <c r="AI220" i="1"/>
  <c r="AK219" i="1"/>
  <c r="AJ219" i="1"/>
  <c r="AI219" i="1"/>
  <c r="AK218" i="1"/>
  <c r="AJ218" i="1"/>
  <c r="AI218" i="1"/>
  <c r="AK217" i="1"/>
  <c r="AJ217" i="1"/>
  <c r="AI217" i="1"/>
  <c r="AK216" i="1"/>
  <c r="AJ216" i="1"/>
  <c r="AI216" i="1"/>
  <c r="AK215" i="1"/>
  <c r="AJ215" i="1"/>
  <c r="AI215" i="1"/>
  <c r="AK214" i="1"/>
  <c r="AJ214" i="1"/>
  <c r="AI214" i="1"/>
  <c r="AK213" i="1"/>
  <c r="AJ213" i="1"/>
  <c r="AI213" i="1"/>
  <c r="AK212" i="1"/>
  <c r="AJ212" i="1"/>
  <c r="AI212" i="1"/>
  <c r="AK211" i="1"/>
  <c r="AJ211" i="1"/>
  <c r="AI211" i="1"/>
  <c r="AK210" i="1"/>
  <c r="AJ210" i="1"/>
  <c r="AI210" i="1"/>
  <c r="AK209" i="1"/>
  <c r="AJ209" i="1"/>
  <c r="AI209" i="1"/>
  <c r="AK208" i="1"/>
  <c r="AJ208" i="1"/>
  <c r="AI208" i="1"/>
  <c r="AK207" i="1"/>
  <c r="AJ207" i="1"/>
  <c r="AI207" i="1"/>
  <c r="AK206" i="1"/>
  <c r="AJ206" i="1"/>
  <c r="AI206" i="1"/>
  <c r="AK205" i="1"/>
  <c r="AJ205" i="1"/>
  <c r="AI205" i="1"/>
  <c r="AK204" i="1"/>
  <c r="AJ204" i="1"/>
  <c r="AI204" i="1"/>
  <c r="AK203" i="1"/>
  <c r="AJ203" i="1"/>
  <c r="AI203" i="1"/>
  <c r="AK202" i="1"/>
  <c r="AJ202" i="1"/>
  <c r="AI202" i="1"/>
  <c r="AK201" i="1"/>
  <c r="AJ201" i="1"/>
  <c r="AI201" i="1"/>
  <c r="AK200" i="1"/>
  <c r="AJ200" i="1"/>
  <c r="AI200" i="1"/>
  <c r="AK199" i="1"/>
  <c r="AJ199" i="1"/>
  <c r="AI199" i="1"/>
  <c r="AK198" i="1"/>
  <c r="AJ198" i="1"/>
  <c r="AI198" i="1"/>
  <c r="AK197" i="1"/>
  <c r="AJ197" i="1"/>
  <c r="AI197" i="1"/>
  <c r="AK196" i="1"/>
  <c r="AJ196" i="1"/>
  <c r="AI196" i="1"/>
  <c r="AK195" i="1"/>
  <c r="AJ195" i="1"/>
  <c r="AI195" i="1"/>
  <c r="AK194" i="1"/>
  <c r="AJ194" i="1"/>
  <c r="AI194" i="1"/>
  <c r="AK193" i="1"/>
  <c r="AJ193" i="1"/>
  <c r="AI193" i="1"/>
  <c r="AK192" i="1"/>
  <c r="AJ192" i="1"/>
  <c r="AI192" i="1"/>
  <c r="AK191" i="1"/>
  <c r="AJ191" i="1"/>
  <c r="AI191" i="1"/>
  <c r="AK190" i="1"/>
  <c r="AJ190" i="1"/>
  <c r="AI190" i="1"/>
  <c r="AK189" i="1"/>
  <c r="AJ189" i="1"/>
  <c r="AI189" i="1"/>
  <c r="AK188" i="1"/>
  <c r="AJ188" i="1"/>
  <c r="AI188" i="1"/>
  <c r="AK187" i="1"/>
  <c r="AJ187" i="1"/>
  <c r="AI187" i="1"/>
  <c r="AK186" i="1"/>
  <c r="AJ186" i="1"/>
  <c r="AI186" i="1"/>
  <c r="AK185" i="1"/>
  <c r="AJ185" i="1"/>
  <c r="AI185" i="1"/>
  <c r="AK184" i="1"/>
  <c r="AJ184" i="1"/>
  <c r="AI184" i="1"/>
  <c r="AK183" i="1"/>
  <c r="AJ183" i="1"/>
  <c r="AI183" i="1"/>
  <c r="AK182" i="1"/>
  <c r="AJ182" i="1"/>
  <c r="AI182" i="1"/>
  <c r="AK181" i="1"/>
  <c r="AJ181" i="1"/>
  <c r="AI181" i="1"/>
  <c r="AK180" i="1"/>
  <c r="AJ180" i="1"/>
  <c r="AI180" i="1"/>
  <c r="AK179" i="1"/>
  <c r="AJ179" i="1"/>
  <c r="AI179" i="1"/>
  <c r="AK178" i="1"/>
  <c r="AJ178" i="1"/>
  <c r="AI178" i="1"/>
  <c r="AK177" i="1"/>
  <c r="AJ177" i="1"/>
  <c r="AI177" i="1"/>
  <c r="AK176" i="1"/>
  <c r="AJ176" i="1"/>
  <c r="AI176" i="1"/>
  <c r="AK175" i="1"/>
  <c r="AJ175" i="1"/>
  <c r="AI175" i="1"/>
  <c r="AK174" i="1"/>
  <c r="AJ174" i="1"/>
  <c r="AI174" i="1"/>
  <c r="AK173" i="1"/>
  <c r="AJ173" i="1"/>
  <c r="AI173" i="1"/>
  <c r="AK172" i="1"/>
  <c r="AJ172" i="1"/>
  <c r="AI172" i="1"/>
  <c r="AK171" i="1"/>
  <c r="AJ171" i="1"/>
  <c r="AI171" i="1"/>
  <c r="AK170" i="1"/>
  <c r="AJ170" i="1"/>
  <c r="AI170" i="1"/>
  <c r="AK169" i="1"/>
  <c r="AJ169" i="1"/>
  <c r="AI169" i="1"/>
  <c r="AK168" i="1"/>
  <c r="AJ168" i="1"/>
  <c r="AI168" i="1"/>
  <c r="AK167" i="1"/>
  <c r="AJ167" i="1"/>
  <c r="AI167" i="1"/>
  <c r="AK166" i="1"/>
  <c r="AJ166" i="1"/>
  <c r="AI166" i="1"/>
  <c r="AK165" i="1"/>
  <c r="AJ165" i="1"/>
  <c r="AI165" i="1"/>
  <c r="AK164" i="1"/>
  <c r="AJ164" i="1"/>
  <c r="AI164" i="1"/>
  <c r="AK163" i="1"/>
  <c r="AJ163" i="1"/>
  <c r="AI163" i="1"/>
  <c r="AK162" i="1"/>
  <c r="AJ162" i="1"/>
  <c r="AI162" i="1"/>
  <c r="AK161" i="1"/>
  <c r="AJ161" i="1"/>
  <c r="AI161" i="1"/>
  <c r="AK160" i="1"/>
  <c r="AJ160" i="1"/>
  <c r="AI160" i="1"/>
  <c r="AK159" i="1"/>
  <c r="AJ159" i="1"/>
  <c r="AI159" i="1"/>
  <c r="AK158" i="1"/>
  <c r="AJ158" i="1"/>
  <c r="AI158" i="1"/>
  <c r="AK157" i="1"/>
  <c r="AJ157" i="1"/>
  <c r="AI157" i="1"/>
  <c r="AK156" i="1"/>
  <c r="AJ156" i="1"/>
  <c r="AI156" i="1"/>
  <c r="AK155" i="1"/>
  <c r="AJ155" i="1"/>
  <c r="AI155" i="1"/>
  <c r="AK154" i="1"/>
  <c r="AJ154" i="1"/>
  <c r="AI154" i="1"/>
  <c r="AK153" i="1"/>
  <c r="AJ153" i="1"/>
  <c r="AI153" i="1"/>
  <c r="AK152" i="1"/>
  <c r="AJ152" i="1"/>
  <c r="AI152" i="1"/>
  <c r="AK151" i="1"/>
  <c r="AJ151" i="1"/>
  <c r="AI151" i="1"/>
  <c r="AK150" i="1"/>
  <c r="AJ150" i="1"/>
  <c r="AI150" i="1"/>
  <c r="AK149" i="1"/>
  <c r="AJ149" i="1"/>
  <c r="AI149" i="1"/>
  <c r="AK148" i="1"/>
  <c r="AJ148" i="1"/>
  <c r="AI148" i="1"/>
  <c r="AK147" i="1"/>
  <c r="AJ147" i="1"/>
  <c r="AI147" i="1"/>
  <c r="AK146" i="1"/>
  <c r="AJ146" i="1"/>
  <c r="AI146" i="1"/>
  <c r="AK145" i="1"/>
  <c r="AJ145" i="1"/>
  <c r="AI145" i="1"/>
  <c r="AK144" i="1"/>
  <c r="AJ144" i="1"/>
  <c r="AI144" i="1"/>
  <c r="AK143" i="1"/>
  <c r="AJ143" i="1"/>
  <c r="AI143" i="1"/>
  <c r="AK142" i="1"/>
  <c r="AJ142" i="1"/>
  <c r="AI142" i="1"/>
  <c r="AK141" i="1"/>
  <c r="AJ141" i="1"/>
  <c r="AI141" i="1"/>
  <c r="AK140" i="1"/>
  <c r="AJ140" i="1"/>
  <c r="AI140" i="1"/>
  <c r="AK139" i="1"/>
  <c r="AJ139" i="1"/>
  <c r="AI139" i="1"/>
  <c r="AK138" i="1"/>
  <c r="AJ138" i="1"/>
  <c r="AI138" i="1"/>
  <c r="AK137" i="1"/>
  <c r="AJ137" i="1"/>
  <c r="AI137" i="1"/>
  <c r="AK136" i="1"/>
  <c r="AJ136" i="1"/>
  <c r="AI136" i="1"/>
  <c r="AK135" i="1"/>
  <c r="AJ135" i="1"/>
  <c r="AI135" i="1"/>
  <c r="AK134" i="1"/>
  <c r="AJ134" i="1"/>
  <c r="AI134" i="1"/>
  <c r="AK133" i="1"/>
  <c r="AJ133" i="1"/>
  <c r="AI133" i="1"/>
  <c r="AK132" i="1"/>
  <c r="AJ132" i="1"/>
  <c r="AI132" i="1"/>
  <c r="AK131" i="1"/>
  <c r="AJ131" i="1"/>
  <c r="AI131" i="1"/>
  <c r="AK130" i="1"/>
  <c r="AJ130" i="1"/>
  <c r="AI130" i="1"/>
  <c r="AK129" i="1"/>
  <c r="AJ129" i="1"/>
  <c r="AI129" i="1"/>
  <c r="AK128" i="1"/>
  <c r="AJ128" i="1"/>
  <c r="AI128" i="1"/>
  <c r="AK127" i="1"/>
  <c r="AJ127" i="1"/>
  <c r="AI127" i="1"/>
  <c r="AK126" i="1"/>
  <c r="AJ126" i="1"/>
  <c r="AI126" i="1"/>
  <c r="AK125" i="1"/>
  <c r="AJ125" i="1"/>
  <c r="AI125" i="1"/>
  <c r="AK124" i="1"/>
  <c r="AJ124" i="1"/>
  <c r="AI124" i="1"/>
  <c r="AK123" i="1"/>
  <c r="AJ123" i="1"/>
  <c r="AI123" i="1"/>
  <c r="AK122" i="1"/>
  <c r="AJ122" i="1"/>
  <c r="AI122" i="1"/>
  <c r="AK121" i="1"/>
  <c r="AJ121" i="1"/>
  <c r="AI121" i="1"/>
  <c r="AK120" i="1"/>
  <c r="AJ120" i="1"/>
  <c r="AI120" i="1"/>
  <c r="AK119" i="1"/>
  <c r="AJ119" i="1"/>
  <c r="AI119" i="1"/>
  <c r="AK118" i="1"/>
  <c r="AJ118" i="1"/>
  <c r="AI118" i="1"/>
  <c r="AK117" i="1"/>
  <c r="AJ117" i="1"/>
  <c r="AI117" i="1"/>
  <c r="AK116" i="1"/>
  <c r="AJ116" i="1"/>
  <c r="AI116" i="1"/>
  <c r="AK115" i="1"/>
  <c r="AJ115" i="1"/>
  <c r="AI115" i="1"/>
  <c r="AK114" i="1"/>
  <c r="AJ114" i="1"/>
  <c r="AI114" i="1"/>
  <c r="AK113" i="1"/>
  <c r="AJ113" i="1"/>
  <c r="AI113" i="1"/>
  <c r="AK112" i="1"/>
  <c r="AJ112" i="1"/>
  <c r="AI112" i="1"/>
  <c r="AK111" i="1"/>
  <c r="AJ111" i="1"/>
  <c r="AI111" i="1"/>
  <c r="AK110" i="1"/>
  <c r="AJ110" i="1"/>
  <c r="AI110" i="1"/>
  <c r="AK109" i="1"/>
  <c r="AJ109" i="1"/>
  <c r="AI109" i="1"/>
  <c r="AK108" i="1"/>
  <c r="AJ108" i="1"/>
  <c r="AI108" i="1"/>
  <c r="AK107" i="1"/>
  <c r="AJ107" i="1"/>
  <c r="AI107" i="1"/>
  <c r="AK106" i="1"/>
  <c r="AJ106" i="1"/>
  <c r="AI106" i="1"/>
  <c r="AK105" i="1"/>
  <c r="AJ105" i="1"/>
  <c r="AI105" i="1"/>
  <c r="AK104" i="1"/>
  <c r="AJ104" i="1"/>
  <c r="AI104" i="1"/>
  <c r="AK103" i="1"/>
  <c r="AJ103" i="1"/>
  <c r="AI103" i="1"/>
  <c r="AK102" i="1"/>
  <c r="AJ102" i="1"/>
  <c r="AI102" i="1"/>
  <c r="AK101" i="1"/>
  <c r="AJ101" i="1"/>
  <c r="AI101" i="1"/>
  <c r="AK100" i="1"/>
  <c r="AJ100" i="1"/>
  <c r="AI100" i="1"/>
  <c r="AK99" i="1"/>
  <c r="AJ99" i="1"/>
  <c r="AI99" i="1"/>
  <c r="AK98" i="1"/>
  <c r="AJ98" i="1"/>
  <c r="AI98" i="1"/>
  <c r="AK97" i="1"/>
  <c r="AJ97" i="1"/>
  <c r="AI97" i="1"/>
  <c r="AK96" i="1"/>
  <c r="AJ96" i="1"/>
  <c r="AI96" i="1"/>
  <c r="AK95" i="1"/>
  <c r="AJ95" i="1"/>
  <c r="AI95" i="1"/>
  <c r="AK94" i="1"/>
  <c r="AJ94" i="1"/>
  <c r="AI94" i="1"/>
  <c r="AK93" i="1"/>
  <c r="AJ93" i="1"/>
  <c r="AI93" i="1"/>
  <c r="AK92" i="1"/>
  <c r="AJ92" i="1"/>
  <c r="AI92" i="1"/>
  <c r="AK91" i="1"/>
  <c r="AJ91" i="1"/>
  <c r="AI91" i="1"/>
  <c r="AK90" i="1"/>
  <c r="AJ90" i="1"/>
  <c r="AI90" i="1"/>
  <c r="AK89" i="1"/>
  <c r="AJ89" i="1"/>
  <c r="AI89" i="1"/>
  <c r="AK88" i="1"/>
  <c r="AJ88" i="1"/>
  <c r="AI88" i="1"/>
  <c r="AK87" i="1"/>
  <c r="AJ87" i="1"/>
  <c r="AI87" i="1"/>
  <c r="AK86" i="1"/>
  <c r="AJ86" i="1"/>
  <c r="AI86" i="1"/>
  <c r="AK85" i="1"/>
  <c r="AJ85" i="1"/>
  <c r="AI85" i="1"/>
  <c r="AK84" i="1"/>
  <c r="AJ84" i="1"/>
  <c r="AI84" i="1"/>
  <c r="AK83" i="1"/>
  <c r="AJ83" i="1"/>
  <c r="AI83" i="1"/>
  <c r="AK82" i="1"/>
  <c r="AJ82" i="1"/>
  <c r="AI82" i="1"/>
  <c r="AK81" i="1"/>
  <c r="AJ81" i="1"/>
  <c r="AI81" i="1"/>
  <c r="AK80" i="1"/>
  <c r="AJ80" i="1"/>
  <c r="AI80" i="1"/>
  <c r="AK79" i="1"/>
  <c r="AJ79" i="1"/>
  <c r="AI79" i="1"/>
  <c r="AK78" i="1"/>
  <c r="AJ78" i="1"/>
  <c r="AI78" i="1"/>
  <c r="AK77" i="1"/>
  <c r="AJ77" i="1"/>
  <c r="AI77" i="1"/>
  <c r="AK76" i="1"/>
  <c r="AJ76" i="1"/>
  <c r="AI76" i="1"/>
  <c r="AK75" i="1"/>
  <c r="AJ75" i="1"/>
  <c r="AI75" i="1"/>
  <c r="AK74" i="1"/>
  <c r="AJ74" i="1"/>
  <c r="AI74" i="1"/>
  <c r="AK73" i="1"/>
  <c r="AJ73" i="1"/>
  <c r="AI73" i="1"/>
  <c r="AK72" i="1"/>
  <c r="AJ72" i="1"/>
  <c r="AI72" i="1"/>
  <c r="AK71" i="1"/>
  <c r="AJ71" i="1"/>
  <c r="AI71" i="1"/>
  <c r="AK70" i="1"/>
  <c r="AJ70" i="1"/>
  <c r="AI70" i="1"/>
  <c r="AK69" i="1"/>
  <c r="AJ69" i="1"/>
  <c r="AI69" i="1"/>
  <c r="AK68" i="1"/>
  <c r="AJ68" i="1"/>
  <c r="AI68" i="1"/>
  <c r="AK67" i="1"/>
  <c r="AJ67" i="1"/>
  <c r="AI67" i="1"/>
  <c r="AK66" i="1"/>
  <c r="AJ66" i="1"/>
  <c r="AI66" i="1"/>
  <c r="AK65" i="1"/>
  <c r="AJ65" i="1"/>
  <c r="AI65" i="1"/>
  <c r="AK64" i="1"/>
  <c r="AJ64" i="1"/>
  <c r="AI64" i="1"/>
  <c r="AK63" i="1"/>
  <c r="AJ63" i="1"/>
  <c r="AI63" i="1"/>
  <c r="AK62" i="1"/>
  <c r="AJ62" i="1"/>
  <c r="AI62" i="1"/>
  <c r="AK61" i="1"/>
  <c r="AJ61" i="1"/>
  <c r="AI61" i="1"/>
  <c r="AK60" i="1"/>
  <c r="AJ60" i="1"/>
  <c r="AI60" i="1"/>
  <c r="AK59" i="1"/>
  <c r="AJ59" i="1"/>
  <c r="AI59" i="1"/>
  <c r="AK58" i="1"/>
  <c r="AJ58" i="1"/>
  <c r="AI58" i="1"/>
  <c r="AK57" i="1"/>
  <c r="AJ57" i="1"/>
  <c r="AI57" i="1"/>
  <c r="AK56" i="1"/>
  <c r="AJ56" i="1"/>
  <c r="AI56" i="1"/>
  <c r="AK55" i="1"/>
  <c r="AJ55" i="1"/>
  <c r="AI55" i="1"/>
  <c r="AK54" i="1"/>
  <c r="AJ54" i="1"/>
  <c r="AI54" i="1"/>
  <c r="AK53" i="1"/>
  <c r="AJ53" i="1"/>
  <c r="AI53" i="1"/>
  <c r="AK52" i="1"/>
  <c r="AJ52" i="1"/>
  <c r="AI52" i="1"/>
  <c r="AK51" i="1"/>
  <c r="AJ51" i="1"/>
  <c r="AI51" i="1"/>
  <c r="AK50" i="1"/>
  <c r="AJ50" i="1"/>
  <c r="AI50" i="1"/>
  <c r="AK49" i="1"/>
  <c r="AJ49" i="1"/>
  <c r="AI49" i="1"/>
  <c r="AK48" i="1"/>
  <c r="AJ48" i="1"/>
  <c r="AI48" i="1"/>
  <c r="AK47" i="1"/>
  <c r="AJ47" i="1"/>
  <c r="AI47" i="1"/>
  <c r="AK46" i="1"/>
  <c r="AJ46" i="1"/>
  <c r="AI46" i="1"/>
  <c r="AK45" i="1"/>
  <c r="AJ45" i="1"/>
  <c r="AI45" i="1"/>
  <c r="AK44" i="1"/>
  <c r="AJ44" i="1"/>
  <c r="AI44" i="1"/>
  <c r="AK43" i="1"/>
  <c r="AJ43" i="1"/>
  <c r="AI43" i="1"/>
  <c r="AK42" i="1"/>
  <c r="AJ42" i="1"/>
  <c r="AI42" i="1"/>
  <c r="AK41" i="1"/>
  <c r="AJ41" i="1"/>
  <c r="AI41" i="1"/>
  <c r="AK40" i="1"/>
  <c r="AJ40" i="1"/>
  <c r="AI40" i="1"/>
  <c r="AK39" i="1"/>
  <c r="AJ39" i="1"/>
  <c r="AI39" i="1"/>
  <c r="AK38" i="1"/>
  <c r="AJ38" i="1"/>
  <c r="AI38" i="1"/>
  <c r="AK37" i="1"/>
  <c r="AJ37" i="1"/>
  <c r="AI37" i="1"/>
  <c r="AK36" i="1"/>
  <c r="AJ36" i="1"/>
  <c r="AI36" i="1"/>
  <c r="AK35" i="1"/>
  <c r="AJ35" i="1"/>
  <c r="AI35" i="1"/>
  <c r="AK34" i="1"/>
  <c r="AJ34" i="1"/>
  <c r="AI34" i="1"/>
  <c r="AK33" i="1"/>
  <c r="AJ33" i="1"/>
  <c r="AI33" i="1"/>
  <c r="AK32" i="1"/>
  <c r="AJ32" i="1"/>
  <c r="AI32" i="1"/>
  <c r="AK31" i="1"/>
  <c r="AJ31" i="1"/>
  <c r="AI31" i="1"/>
  <c r="AK30" i="1"/>
  <c r="AJ30" i="1"/>
  <c r="AI30" i="1"/>
  <c r="AK29" i="1"/>
  <c r="AJ29" i="1"/>
  <c r="AI29" i="1"/>
  <c r="AK28" i="1"/>
  <c r="AJ28" i="1"/>
  <c r="AI28" i="1"/>
  <c r="AK27" i="1"/>
  <c r="AJ27" i="1"/>
  <c r="AI27" i="1"/>
  <c r="AK26" i="1"/>
  <c r="AJ26" i="1"/>
  <c r="AI26" i="1"/>
  <c r="AK25" i="1"/>
  <c r="AJ25" i="1"/>
  <c r="AI25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9" i="1"/>
  <c r="AJ19" i="1"/>
  <c r="AI19" i="1"/>
  <c r="AK18" i="1"/>
  <c r="AJ18" i="1"/>
  <c r="AI18" i="1"/>
  <c r="AK17" i="1"/>
  <c r="AJ17" i="1"/>
  <c r="AI17" i="1"/>
  <c r="AK16" i="1"/>
  <c r="AJ16" i="1"/>
  <c r="AI16" i="1"/>
  <c r="AK15" i="1"/>
  <c r="AJ15" i="1"/>
  <c r="AI15" i="1"/>
  <c r="AK14" i="1"/>
  <c r="AJ14" i="1"/>
  <c r="AI14" i="1"/>
  <c r="AK13" i="1"/>
  <c r="AJ13" i="1"/>
  <c r="AI13" i="1"/>
  <c r="AK12" i="1"/>
  <c r="AJ12" i="1"/>
  <c r="AI12" i="1"/>
  <c r="AK11" i="1"/>
  <c r="AJ11" i="1"/>
  <c r="AI11" i="1"/>
  <c r="AK10" i="1"/>
  <c r="AJ10" i="1"/>
  <c r="AI10" i="1"/>
  <c r="AK9" i="1"/>
  <c r="AJ9" i="1"/>
  <c r="AI9" i="1"/>
  <c r="AK8" i="1"/>
  <c r="AJ8" i="1"/>
  <c r="AI8" i="1"/>
  <c r="AK7" i="1"/>
  <c r="AJ7" i="1"/>
  <c r="AI7" i="1"/>
  <c r="AK6" i="1"/>
  <c r="AJ6" i="1"/>
  <c r="AI6" i="1"/>
  <c r="AK5" i="1"/>
  <c r="AJ5" i="1"/>
  <c r="AI5" i="1"/>
  <c r="AK4" i="1"/>
  <c r="AJ4" i="1"/>
  <c r="AI4" i="1"/>
  <c r="AK3" i="1"/>
  <c r="AJ3" i="1"/>
  <c r="AI3" i="1"/>
  <c r="AK2" i="1"/>
  <c r="AJ2" i="1"/>
  <c r="AI2" i="1"/>
  <c r="T411" i="1"/>
  <c r="S411" i="1"/>
  <c r="R411" i="1"/>
  <c r="T242" i="1"/>
  <c r="S242" i="1"/>
  <c r="R242" i="1"/>
  <c r="U636" i="1"/>
  <c r="T636" i="1"/>
  <c r="S636" i="1"/>
  <c r="R636" i="1"/>
  <c r="U635" i="1"/>
  <c r="T635" i="1"/>
  <c r="S635" i="1"/>
  <c r="R635" i="1"/>
  <c r="U634" i="1"/>
  <c r="T634" i="1"/>
  <c r="S634" i="1"/>
  <c r="R634" i="1"/>
  <c r="U633" i="1"/>
  <c r="T633" i="1"/>
  <c r="S633" i="1"/>
  <c r="R633" i="1"/>
  <c r="R632" i="1"/>
  <c r="S632" i="1"/>
  <c r="T632" i="1"/>
  <c r="AG636" i="1" l="1"/>
  <c r="AF636" i="1"/>
  <c r="AE636" i="1"/>
  <c r="AD636" i="1"/>
  <c r="AC636" i="1"/>
  <c r="AB636" i="1"/>
  <c r="AA636" i="1"/>
  <c r="Z636" i="1"/>
  <c r="Y636" i="1"/>
  <c r="X636" i="1"/>
  <c r="W636" i="1"/>
  <c r="V636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N636" i="1"/>
  <c r="D636" i="1"/>
  <c r="N635" i="1"/>
  <c r="D635" i="1"/>
  <c r="N634" i="1"/>
  <c r="F634" i="1"/>
  <c r="D634" i="1"/>
  <c r="N633" i="1"/>
  <c r="F633" i="1"/>
  <c r="D633" i="1"/>
  <c r="N632" i="1"/>
  <c r="F632" i="1"/>
  <c r="D632" i="1"/>
  <c r="N631" i="1"/>
  <c r="F631" i="1"/>
  <c r="D631" i="1"/>
  <c r="N630" i="1"/>
  <c r="F630" i="1"/>
  <c r="D630" i="1"/>
  <c r="N629" i="1"/>
  <c r="F629" i="1"/>
  <c r="D629" i="1"/>
  <c r="N628" i="1"/>
  <c r="F628" i="1"/>
  <c r="D628" i="1"/>
  <c r="N627" i="1"/>
  <c r="F627" i="1"/>
  <c r="D627" i="1"/>
  <c r="N626" i="1"/>
  <c r="F626" i="1"/>
  <c r="D626" i="1"/>
  <c r="N625" i="1"/>
  <c r="F625" i="1"/>
  <c r="D625" i="1"/>
  <c r="N624" i="1"/>
  <c r="F624" i="1"/>
  <c r="D624" i="1"/>
  <c r="N623" i="1"/>
  <c r="F623" i="1"/>
  <c r="D623" i="1"/>
  <c r="N622" i="1"/>
  <c r="F622" i="1"/>
  <c r="D622" i="1"/>
  <c r="N621" i="1"/>
  <c r="F621" i="1"/>
  <c r="D621" i="1"/>
  <c r="N620" i="1"/>
  <c r="F620" i="1"/>
  <c r="D620" i="1"/>
  <c r="N619" i="1"/>
  <c r="F619" i="1"/>
  <c r="D619" i="1"/>
  <c r="N618" i="1"/>
  <c r="F618" i="1"/>
  <c r="D618" i="1"/>
  <c r="N617" i="1"/>
  <c r="F617" i="1"/>
  <c r="D617" i="1"/>
  <c r="N616" i="1"/>
  <c r="F616" i="1"/>
  <c r="D616" i="1"/>
  <c r="N615" i="1"/>
  <c r="F615" i="1"/>
  <c r="D615" i="1"/>
  <c r="N614" i="1"/>
  <c r="F614" i="1"/>
  <c r="D614" i="1"/>
  <c r="N613" i="1"/>
  <c r="F613" i="1"/>
  <c r="D613" i="1"/>
  <c r="N612" i="1"/>
  <c r="F612" i="1"/>
  <c r="D612" i="1"/>
  <c r="N611" i="1"/>
  <c r="F611" i="1"/>
  <c r="D611" i="1"/>
  <c r="N610" i="1"/>
  <c r="F610" i="1"/>
  <c r="D610" i="1"/>
  <c r="F609" i="1"/>
  <c r="D609" i="1"/>
  <c r="N608" i="1"/>
  <c r="F608" i="1"/>
  <c r="D608" i="1"/>
  <c r="N607" i="1"/>
  <c r="F607" i="1"/>
  <c r="D607" i="1"/>
  <c r="N606" i="1"/>
  <c r="F606" i="1"/>
  <c r="D606" i="1"/>
  <c r="N605" i="1"/>
  <c r="F605" i="1"/>
  <c r="D605" i="1"/>
  <c r="N604" i="1"/>
  <c r="F604" i="1"/>
  <c r="D604" i="1"/>
  <c r="N603" i="1"/>
  <c r="F603" i="1"/>
  <c r="D603" i="1"/>
  <c r="N602" i="1"/>
  <c r="F602" i="1"/>
  <c r="D602" i="1"/>
  <c r="N601" i="1"/>
  <c r="F601" i="1"/>
  <c r="D601" i="1"/>
  <c r="N600" i="1"/>
  <c r="F600" i="1"/>
  <c r="D600" i="1"/>
  <c r="N599" i="1"/>
  <c r="F599" i="1"/>
  <c r="D599" i="1"/>
  <c r="N598" i="1"/>
  <c r="F598" i="1"/>
  <c r="D598" i="1"/>
  <c r="N597" i="1"/>
  <c r="F597" i="1"/>
  <c r="D597" i="1"/>
  <c r="N596" i="1"/>
  <c r="F596" i="1"/>
  <c r="D596" i="1"/>
  <c r="N595" i="1"/>
  <c r="F595" i="1"/>
  <c r="D595" i="1"/>
  <c r="N594" i="1"/>
  <c r="F594" i="1"/>
  <c r="D594" i="1"/>
  <c r="N593" i="1"/>
  <c r="F593" i="1"/>
  <c r="D593" i="1"/>
  <c r="N592" i="1"/>
  <c r="F592" i="1"/>
  <c r="D592" i="1"/>
  <c r="N591" i="1"/>
  <c r="F591" i="1"/>
  <c r="D591" i="1"/>
  <c r="N590" i="1"/>
  <c r="F590" i="1"/>
  <c r="D590" i="1"/>
  <c r="N589" i="1"/>
  <c r="F589" i="1"/>
  <c r="D589" i="1"/>
  <c r="N588" i="1"/>
  <c r="F588" i="1"/>
  <c r="D588" i="1"/>
  <c r="N587" i="1"/>
  <c r="F587" i="1"/>
  <c r="D587" i="1"/>
  <c r="N586" i="1"/>
  <c r="F586" i="1"/>
  <c r="D586" i="1"/>
  <c r="N585" i="1"/>
  <c r="F585" i="1"/>
  <c r="D585" i="1"/>
  <c r="N584" i="1"/>
  <c r="F584" i="1"/>
  <c r="D584" i="1"/>
  <c r="N583" i="1"/>
  <c r="F583" i="1"/>
  <c r="D583" i="1"/>
  <c r="N582" i="1"/>
  <c r="F582" i="1"/>
  <c r="D582" i="1"/>
  <c r="N581" i="1"/>
  <c r="F581" i="1"/>
  <c r="D581" i="1"/>
  <c r="N580" i="1"/>
  <c r="F580" i="1"/>
  <c r="D580" i="1"/>
  <c r="N579" i="1"/>
  <c r="F579" i="1"/>
  <c r="D579" i="1"/>
  <c r="N578" i="1"/>
  <c r="F578" i="1"/>
  <c r="D578" i="1"/>
  <c r="N577" i="1"/>
  <c r="F577" i="1"/>
  <c r="D577" i="1"/>
  <c r="N576" i="1"/>
  <c r="F576" i="1"/>
  <c r="D576" i="1"/>
  <c r="N575" i="1"/>
  <c r="F575" i="1"/>
  <c r="D575" i="1"/>
  <c r="N574" i="1"/>
  <c r="F574" i="1"/>
  <c r="D574" i="1"/>
  <c r="N573" i="1"/>
  <c r="F573" i="1"/>
  <c r="D573" i="1"/>
  <c r="N572" i="1"/>
  <c r="F572" i="1"/>
  <c r="D572" i="1"/>
  <c r="N571" i="1"/>
  <c r="F571" i="1"/>
  <c r="D571" i="1"/>
  <c r="N570" i="1"/>
  <c r="F570" i="1"/>
  <c r="D570" i="1"/>
  <c r="N569" i="1"/>
  <c r="F569" i="1"/>
  <c r="D569" i="1"/>
  <c r="N568" i="1"/>
  <c r="F568" i="1"/>
  <c r="D568" i="1"/>
  <c r="N567" i="1"/>
  <c r="F567" i="1"/>
  <c r="D567" i="1"/>
  <c r="N566" i="1"/>
  <c r="F566" i="1"/>
  <c r="D566" i="1"/>
  <c r="N565" i="1"/>
  <c r="F565" i="1"/>
  <c r="D565" i="1"/>
  <c r="N564" i="1"/>
  <c r="F564" i="1"/>
  <c r="D564" i="1"/>
  <c r="N563" i="1"/>
  <c r="F563" i="1"/>
  <c r="D563" i="1"/>
  <c r="N562" i="1"/>
  <c r="F562" i="1"/>
  <c r="D562" i="1"/>
  <c r="N561" i="1"/>
  <c r="F561" i="1"/>
  <c r="D561" i="1"/>
  <c r="N560" i="1"/>
  <c r="F560" i="1"/>
  <c r="D560" i="1"/>
  <c r="N559" i="1"/>
  <c r="F559" i="1"/>
  <c r="D559" i="1"/>
  <c r="N558" i="1"/>
  <c r="F558" i="1"/>
  <c r="D558" i="1"/>
  <c r="N557" i="1"/>
  <c r="F557" i="1"/>
  <c r="D557" i="1"/>
  <c r="N556" i="1"/>
  <c r="F556" i="1"/>
  <c r="D556" i="1"/>
  <c r="N555" i="1"/>
  <c r="F555" i="1"/>
  <c r="D555" i="1"/>
  <c r="N554" i="1"/>
  <c r="F554" i="1"/>
  <c r="D554" i="1"/>
  <c r="N553" i="1"/>
  <c r="F553" i="1"/>
  <c r="D553" i="1"/>
  <c r="N552" i="1"/>
  <c r="F552" i="1"/>
  <c r="D552" i="1"/>
  <c r="N551" i="1"/>
  <c r="F551" i="1"/>
  <c r="D551" i="1"/>
  <c r="N550" i="1"/>
  <c r="F550" i="1"/>
  <c r="D550" i="1"/>
  <c r="N549" i="1"/>
  <c r="F549" i="1"/>
  <c r="D549" i="1"/>
  <c r="N548" i="1"/>
  <c r="F548" i="1"/>
  <c r="D548" i="1"/>
  <c r="N547" i="1"/>
  <c r="F547" i="1"/>
  <c r="D547" i="1"/>
  <c r="N546" i="1"/>
  <c r="F546" i="1"/>
  <c r="D546" i="1"/>
  <c r="N545" i="1"/>
  <c r="F545" i="1"/>
  <c r="D545" i="1"/>
  <c r="N544" i="1"/>
  <c r="F544" i="1"/>
  <c r="D544" i="1"/>
  <c r="N543" i="1"/>
  <c r="F543" i="1"/>
  <c r="D543" i="1"/>
  <c r="N542" i="1"/>
  <c r="F542" i="1"/>
  <c r="D542" i="1"/>
  <c r="N541" i="1"/>
  <c r="F541" i="1"/>
  <c r="D541" i="1"/>
  <c r="N540" i="1"/>
  <c r="F540" i="1"/>
  <c r="D540" i="1"/>
  <c r="N539" i="1"/>
  <c r="F539" i="1"/>
  <c r="D539" i="1"/>
  <c r="N538" i="1"/>
  <c r="F538" i="1"/>
  <c r="D538" i="1"/>
  <c r="N537" i="1"/>
  <c r="F537" i="1"/>
  <c r="D537" i="1"/>
  <c r="N536" i="1"/>
  <c r="F536" i="1"/>
  <c r="D536" i="1"/>
  <c r="N535" i="1"/>
  <c r="F535" i="1"/>
  <c r="D535" i="1"/>
  <c r="N534" i="1"/>
  <c r="F534" i="1"/>
  <c r="D534" i="1"/>
  <c r="N533" i="1"/>
  <c r="F533" i="1"/>
  <c r="D533" i="1"/>
  <c r="N532" i="1"/>
  <c r="F532" i="1"/>
  <c r="D532" i="1"/>
  <c r="N531" i="1"/>
  <c r="F531" i="1"/>
  <c r="D531" i="1"/>
  <c r="N530" i="1"/>
  <c r="F530" i="1"/>
  <c r="D530" i="1"/>
  <c r="N529" i="1"/>
  <c r="F529" i="1"/>
  <c r="D529" i="1"/>
  <c r="N528" i="1"/>
  <c r="F528" i="1"/>
  <c r="D528" i="1"/>
  <c r="N527" i="1"/>
  <c r="F527" i="1"/>
  <c r="D527" i="1"/>
  <c r="N526" i="1"/>
  <c r="F526" i="1"/>
  <c r="D526" i="1"/>
  <c r="N525" i="1"/>
  <c r="F525" i="1"/>
  <c r="D525" i="1"/>
  <c r="N524" i="1"/>
  <c r="F524" i="1"/>
  <c r="D524" i="1"/>
  <c r="N523" i="1"/>
  <c r="F523" i="1"/>
  <c r="D523" i="1"/>
  <c r="N522" i="1"/>
  <c r="F522" i="1"/>
  <c r="D522" i="1"/>
  <c r="N521" i="1"/>
  <c r="F521" i="1"/>
  <c r="D521" i="1"/>
  <c r="N520" i="1"/>
  <c r="F520" i="1"/>
  <c r="D520" i="1"/>
  <c r="N519" i="1"/>
  <c r="F519" i="1"/>
  <c r="D519" i="1"/>
  <c r="N518" i="1"/>
  <c r="F518" i="1"/>
  <c r="D518" i="1"/>
  <c r="N517" i="1"/>
  <c r="F517" i="1"/>
  <c r="D517" i="1"/>
  <c r="N516" i="1"/>
  <c r="F516" i="1"/>
  <c r="D516" i="1"/>
  <c r="N515" i="1"/>
  <c r="F515" i="1"/>
  <c r="D515" i="1"/>
  <c r="N514" i="1"/>
  <c r="F514" i="1"/>
  <c r="D514" i="1"/>
  <c r="N513" i="1"/>
  <c r="F513" i="1"/>
  <c r="D513" i="1"/>
  <c r="N512" i="1"/>
  <c r="F512" i="1"/>
  <c r="D512" i="1"/>
  <c r="N511" i="1"/>
  <c r="F511" i="1"/>
  <c r="D511" i="1"/>
  <c r="N510" i="1"/>
  <c r="F510" i="1"/>
  <c r="D510" i="1"/>
  <c r="N509" i="1"/>
  <c r="F509" i="1"/>
  <c r="D509" i="1"/>
  <c r="N508" i="1"/>
  <c r="F508" i="1"/>
  <c r="D508" i="1"/>
  <c r="N507" i="1"/>
  <c r="F507" i="1"/>
  <c r="D507" i="1"/>
  <c r="N506" i="1"/>
  <c r="F506" i="1"/>
  <c r="D506" i="1"/>
  <c r="N505" i="1"/>
  <c r="F505" i="1"/>
  <c r="D505" i="1"/>
  <c r="N504" i="1"/>
  <c r="F504" i="1"/>
  <c r="D504" i="1"/>
  <c r="N503" i="1"/>
  <c r="F503" i="1"/>
  <c r="D503" i="1"/>
  <c r="N502" i="1"/>
  <c r="F502" i="1"/>
  <c r="D502" i="1"/>
  <c r="N501" i="1"/>
  <c r="F501" i="1"/>
  <c r="D501" i="1"/>
  <c r="N500" i="1"/>
  <c r="F500" i="1"/>
  <c r="D500" i="1"/>
  <c r="N499" i="1"/>
  <c r="F499" i="1"/>
  <c r="D499" i="1"/>
  <c r="N498" i="1"/>
  <c r="F498" i="1"/>
  <c r="D498" i="1"/>
  <c r="N497" i="1"/>
  <c r="F497" i="1"/>
  <c r="D497" i="1"/>
  <c r="N496" i="1"/>
  <c r="F496" i="1"/>
  <c r="D496" i="1"/>
  <c r="N495" i="1"/>
  <c r="F495" i="1"/>
  <c r="D495" i="1"/>
  <c r="N494" i="1"/>
  <c r="F494" i="1"/>
  <c r="D494" i="1"/>
  <c r="N493" i="1"/>
  <c r="F493" i="1"/>
  <c r="D493" i="1"/>
  <c r="N492" i="1"/>
  <c r="F492" i="1"/>
  <c r="D492" i="1"/>
  <c r="N491" i="1"/>
  <c r="F491" i="1"/>
  <c r="D491" i="1"/>
  <c r="N490" i="1"/>
  <c r="F490" i="1"/>
  <c r="D490" i="1"/>
  <c r="N489" i="1"/>
  <c r="F489" i="1"/>
  <c r="D489" i="1"/>
  <c r="N488" i="1"/>
  <c r="F488" i="1"/>
  <c r="D488" i="1"/>
  <c r="N487" i="1"/>
  <c r="F487" i="1"/>
  <c r="D487" i="1"/>
  <c r="N486" i="1"/>
  <c r="F486" i="1"/>
  <c r="D486" i="1"/>
  <c r="N485" i="1"/>
  <c r="F485" i="1"/>
  <c r="D485" i="1"/>
  <c r="N484" i="1"/>
  <c r="F484" i="1"/>
  <c r="D484" i="1"/>
  <c r="N483" i="1"/>
  <c r="F483" i="1"/>
  <c r="D483" i="1"/>
  <c r="N482" i="1"/>
  <c r="F482" i="1"/>
  <c r="D482" i="1"/>
  <c r="N481" i="1"/>
  <c r="F481" i="1"/>
  <c r="D481" i="1"/>
  <c r="N480" i="1"/>
  <c r="F480" i="1"/>
  <c r="D480" i="1"/>
  <c r="N479" i="1"/>
  <c r="F479" i="1"/>
  <c r="D479" i="1"/>
  <c r="N478" i="1"/>
  <c r="F478" i="1"/>
  <c r="D478" i="1"/>
  <c r="N477" i="1"/>
  <c r="F477" i="1"/>
  <c r="D477" i="1"/>
  <c r="N476" i="1"/>
  <c r="F476" i="1"/>
  <c r="D476" i="1"/>
  <c r="N475" i="1"/>
  <c r="F475" i="1"/>
  <c r="D475" i="1"/>
  <c r="N474" i="1"/>
  <c r="F474" i="1"/>
  <c r="D474" i="1"/>
  <c r="N473" i="1"/>
  <c r="F473" i="1"/>
  <c r="D473" i="1"/>
  <c r="N472" i="1"/>
  <c r="F472" i="1"/>
  <c r="D472" i="1"/>
  <c r="N471" i="1"/>
  <c r="F471" i="1"/>
  <c r="D471" i="1"/>
  <c r="N470" i="1"/>
  <c r="F470" i="1"/>
  <c r="D470" i="1"/>
  <c r="N469" i="1"/>
  <c r="F469" i="1"/>
  <c r="D469" i="1"/>
  <c r="N468" i="1"/>
  <c r="F468" i="1"/>
  <c r="D468" i="1"/>
  <c r="N467" i="1"/>
  <c r="F467" i="1"/>
  <c r="D467" i="1"/>
  <c r="N466" i="1"/>
  <c r="F466" i="1"/>
  <c r="D466" i="1"/>
  <c r="N465" i="1"/>
  <c r="F465" i="1"/>
  <c r="D465" i="1"/>
  <c r="N464" i="1"/>
  <c r="F464" i="1"/>
  <c r="D464" i="1"/>
  <c r="N463" i="1"/>
  <c r="F463" i="1"/>
  <c r="D463" i="1"/>
  <c r="N462" i="1"/>
  <c r="F462" i="1"/>
  <c r="D462" i="1"/>
  <c r="N461" i="1"/>
  <c r="F461" i="1"/>
  <c r="D461" i="1"/>
  <c r="N460" i="1"/>
  <c r="F460" i="1"/>
  <c r="D460" i="1"/>
  <c r="N459" i="1"/>
  <c r="F459" i="1"/>
  <c r="D459" i="1"/>
  <c r="N458" i="1"/>
  <c r="F458" i="1"/>
  <c r="D458" i="1"/>
  <c r="N457" i="1"/>
  <c r="F457" i="1"/>
  <c r="D457" i="1"/>
  <c r="N456" i="1"/>
  <c r="F456" i="1"/>
  <c r="D456" i="1"/>
  <c r="N455" i="1"/>
  <c r="F455" i="1"/>
  <c r="D455" i="1"/>
  <c r="N454" i="1"/>
  <c r="F454" i="1"/>
  <c r="D454" i="1"/>
  <c r="N453" i="1"/>
  <c r="F453" i="1"/>
  <c r="D453" i="1"/>
  <c r="N452" i="1"/>
  <c r="F452" i="1"/>
  <c r="D452" i="1"/>
  <c r="N451" i="1"/>
  <c r="F451" i="1"/>
  <c r="D451" i="1"/>
  <c r="N450" i="1"/>
  <c r="F450" i="1"/>
  <c r="D450" i="1"/>
  <c r="N449" i="1"/>
  <c r="F449" i="1"/>
  <c r="D449" i="1"/>
  <c r="N448" i="1"/>
  <c r="F448" i="1"/>
  <c r="D448" i="1"/>
  <c r="N447" i="1"/>
  <c r="F447" i="1"/>
  <c r="D447" i="1"/>
  <c r="N446" i="1"/>
  <c r="F446" i="1"/>
  <c r="D446" i="1"/>
  <c r="N445" i="1"/>
  <c r="F445" i="1"/>
  <c r="D445" i="1"/>
  <c r="N444" i="1"/>
  <c r="F444" i="1"/>
  <c r="D444" i="1"/>
  <c r="N443" i="1"/>
  <c r="F443" i="1"/>
  <c r="D443" i="1"/>
  <c r="N442" i="1"/>
  <c r="F442" i="1"/>
  <c r="D442" i="1"/>
  <c r="N441" i="1"/>
  <c r="F441" i="1"/>
  <c r="D441" i="1"/>
  <c r="N440" i="1"/>
  <c r="F440" i="1"/>
  <c r="D440" i="1"/>
  <c r="N439" i="1"/>
  <c r="F439" i="1"/>
  <c r="D439" i="1"/>
  <c r="N438" i="1"/>
  <c r="F438" i="1"/>
  <c r="D438" i="1"/>
  <c r="N437" i="1"/>
  <c r="F437" i="1"/>
  <c r="D437" i="1"/>
  <c r="N436" i="1"/>
  <c r="F436" i="1"/>
  <c r="D436" i="1"/>
  <c r="N435" i="1"/>
  <c r="F435" i="1"/>
  <c r="D435" i="1"/>
  <c r="N434" i="1"/>
  <c r="F434" i="1"/>
  <c r="D434" i="1"/>
  <c r="N433" i="1"/>
  <c r="F433" i="1"/>
  <c r="D433" i="1"/>
  <c r="N432" i="1"/>
  <c r="F432" i="1"/>
  <c r="D432" i="1"/>
  <c r="N431" i="1"/>
  <c r="F431" i="1"/>
  <c r="D431" i="1"/>
  <c r="N430" i="1"/>
  <c r="F430" i="1"/>
  <c r="D430" i="1"/>
  <c r="N429" i="1"/>
  <c r="F429" i="1"/>
  <c r="D429" i="1"/>
  <c r="N428" i="1"/>
  <c r="F428" i="1"/>
  <c r="D428" i="1"/>
  <c r="N427" i="1"/>
  <c r="F427" i="1"/>
  <c r="D427" i="1"/>
  <c r="N426" i="1"/>
  <c r="F426" i="1"/>
  <c r="D426" i="1"/>
  <c r="N425" i="1"/>
  <c r="F425" i="1"/>
  <c r="D425" i="1"/>
  <c r="N424" i="1"/>
  <c r="F424" i="1"/>
  <c r="D424" i="1"/>
  <c r="N423" i="1"/>
  <c r="F423" i="1"/>
  <c r="D423" i="1"/>
  <c r="N422" i="1"/>
  <c r="F422" i="1"/>
  <c r="D422" i="1"/>
  <c r="N421" i="1"/>
  <c r="F421" i="1"/>
  <c r="D421" i="1"/>
  <c r="N420" i="1"/>
  <c r="F420" i="1"/>
  <c r="D420" i="1"/>
  <c r="N419" i="1"/>
  <c r="F419" i="1"/>
  <c r="D419" i="1"/>
  <c r="N418" i="1"/>
  <c r="F418" i="1"/>
  <c r="D418" i="1"/>
  <c r="N417" i="1"/>
  <c r="F417" i="1"/>
  <c r="D417" i="1"/>
  <c r="N416" i="1"/>
  <c r="F416" i="1"/>
  <c r="D416" i="1"/>
  <c r="N415" i="1"/>
  <c r="F415" i="1"/>
  <c r="D415" i="1"/>
  <c r="N414" i="1"/>
  <c r="F414" i="1"/>
  <c r="D414" i="1"/>
  <c r="N413" i="1"/>
  <c r="F413" i="1"/>
  <c r="D413" i="1"/>
  <c r="N412" i="1"/>
  <c r="F412" i="1"/>
  <c r="D412" i="1"/>
  <c r="N411" i="1"/>
  <c r="F411" i="1"/>
  <c r="D411" i="1"/>
  <c r="N410" i="1"/>
  <c r="F410" i="1"/>
  <c r="D410" i="1"/>
  <c r="N409" i="1"/>
  <c r="F409" i="1"/>
  <c r="D409" i="1"/>
  <c r="N408" i="1"/>
  <c r="F408" i="1"/>
  <c r="D408" i="1"/>
  <c r="N407" i="1"/>
  <c r="F407" i="1"/>
  <c r="D407" i="1"/>
  <c r="N406" i="1"/>
  <c r="F406" i="1"/>
  <c r="D406" i="1"/>
  <c r="N405" i="1"/>
  <c r="F405" i="1"/>
  <c r="D405" i="1"/>
  <c r="N404" i="1"/>
  <c r="F404" i="1"/>
  <c r="D404" i="1"/>
  <c r="N403" i="1"/>
  <c r="F403" i="1"/>
  <c r="D403" i="1"/>
  <c r="N402" i="1"/>
  <c r="F402" i="1"/>
  <c r="D402" i="1"/>
  <c r="N401" i="1"/>
  <c r="F401" i="1"/>
  <c r="D401" i="1"/>
  <c r="N400" i="1"/>
  <c r="F400" i="1"/>
  <c r="D400" i="1"/>
  <c r="N399" i="1"/>
  <c r="F399" i="1"/>
  <c r="D399" i="1"/>
  <c r="N398" i="1"/>
  <c r="F398" i="1"/>
  <c r="D398" i="1"/>
  <c r="N397" i="1"/>
  <c r="F397" i="1"/>
  <c r="D397" i="1"/>
  <c r="N396" i="1"/>
  <c r="F396" i="1"/>
  <c r="D396" i="1"/>
  <c r="N395" i="1"/>
  <c r="F395" i="1"/>
  <c r="D395" i="1"/>
  <c r="N394" i="1"/>
  <c r="F394" i="1"/>
  <c r="D394" i="1"/>
  <c r="N393" i="1"/>
  <c r="F393" i="1"/>
  <c r="D393" i="1"/>
  <c r="N392" i="1"/>
  <c r="F392" i="1"/>
  <c r="D392" i="1"/>
  <c r="N391" i="1"/>
  <c r="F391" i="1"/>
  <c r="D391" i="1"/>
  <c r="N390" i="1"/>
  <c r="F390" i="1"/>
  <c r="D390" i="1"/>
  <c r="N389" i="1"/>
  <c r="F389" i="1"/>
  <c r="D389" i="1"/>
  <c r="N388" i="1"/>
  <c r="F388" i="1"/>
  <c r="D388" i="1"/>
  <c r="N387" i="1"/>
  <c r="F387" i="1"/>
  <c r="D387" i="1"/>
  <c r="N386" i="1"/>
  <c r="F386" i="1"/>
  <c r="D386" i="1"/>
  <c r="N385" i="1"/>
  <c r="F385" i="1"/>
  <c r="D385" i="1"/>
  <c r="N384" i="1"/>
  <c r="F384" i="1"/>
  <c r="D384" i="1"/>
  <c r="N383" i="1"/>
  <c r="F383" i="1"/>
  <c r="D383" i="1"/>
  <c r="N382" i="1"/>
  <c r="F382" i="1"/>
  <c r="D382" i="1"/>
  <c r="N381" i="1"/>
  <c r="F381" i="1"/>
  <c r="D381" i="1"/>
  <c r="N380" i="1"/>
  <c r="F380" i="1"/>
  <c r="D380" i="1"/>
  <c r="N379" i="1"/>
  <c r="F379" i="1"/>
  <c r="D379" i="1"/>
  <c r="N378" i="1"/>
  <c r="F378" i="1"/>
  <c r="D378" i="1"/>
  <c r="N377" i="1"/>
  <c r="F377" i="1"/>
  <c r="D377" i="1"/>
  <c r="N376" i="1"/>
  <c r="F376" i="1"/>
  <c r="D376" i="1"/>
  <c r="N375" i="1"/>
  <c r="F375" i="1"/>
  <c r="D375" i="1"/>
  <c r="N374" i="1"/>
  <c r="F374" i="1"/>
  <c r="D374" i="1"/>
  <c r="N373" i="1"/>
  <c r="F373" i="1"/>
  <c r="D373" i="1"/>
  <c r="N372" i="1"/>
  <c r="F372" i="1"/>
  <c r="D372" i="1"/>
  <c r="N371" i="1"/>
  <c r="F371" i="1"/>
  <c r="D371" i="1"/>
  <c r="N370" i="1"/>
  <c r="F370" i="1"/>
  <c r="D370" i="1"/>
  <c r="N369" i="1"/>
  <c r="F369" i="1"/>
  <c r="D369" i="1"/>
  <c r="N368" i="1"/>
  <c r="F368" i="1"/>
  <c r="D368" i="1"/>
  <c r="N367" i="1"/>
  <c r="F367" i="1"/>
  <c r="D367" i="1"/>
  <c r="N366" i="1"/>
  <c r="F366" i="1"/>
  <c r="D366" i="1"/>
  <c r="N365" i="1"/>
  <c r="F365" i="1"/>
  <c r="D365" i="1"/>
  <c r="N364" i="1"/>
  <c r="F364" i="1"/>
  <c r="D364" i="1"/>
  <c r="N363" i="1"/>
  <c r="F363" i="1"/>
  <c r="D363" i="1"/>
  <c r="N362" i="1"/>
  <c r="F362" i="1"/>
  <c r="D362" i="1"/>
  <c r="N361" i="1"/>
  <c r="F361" i="1"/>
  <c r="D361" i="1"/>
  <c r="N360" i="1"/>
  <c r="F360" i="1"/>
  <c r="D360" i="1"/>
  <c r="N359" i="1"/>
  <c r="F359" i="1"/>
  <c r="D359" i="1"/>
  <c r="N358" i="1"/>
  <c r="F358" i="1"/>
  <c r="D358" i="1"/>
  <c r="N357" i="1"/>
  <c r="F357" i="1"/>
  <c r="D357" i="1"/>
  <c r="N356" i="1"/>
  <c r="F356" i="1"/>
  <c r="D356" i="1"/>
  <c r="N355" i="1"/>
  <c r="F355" i="1"/>
  <c r="D355" i="1"/>
  <c r="N354" i="1"/>
  <c r="F354" i="1"/>
  <c r="D354" i="1"/>
  <c r="N353" i="1"/>
  <c r="F353" i="1"/>
  <c r="D353" i="1"/>
  <c r="N352" i="1"/>
  <c r="F352" i="1"/>
  <c r="D352" i="1"/>
  <c r="N351" i="1"/>
  <c r="F351" i="1"/>
  <c r="D351" i="1"/>
  <c r="N350" i="1"/>
  <c r="F350" i="1"/>
  <c r="D350" i="1"/>
  <c r="N349" i="1"/>
  <c r="F349" i="1"/>
  <c r="D349" i="1"/>
  <c r="N348" i="1"/>
  <c r="F348" i="1"/>
  <c r="D348" i="1"/>
  <c r="N347" i="1"/>
  <c r="F347" i="1"/>
  <c r="D347" i="1"/>
  <c r="N346" i="1"/>
  <c r="F346" i="1"/>
  <c r="D346" i="1"/>
  <c r="N345" i="1"/>
  <c r="F345" i="1"/>
  <c r="D345" i="1"/>
  <c r="N344" i="1"/>
  <c r="F344" i="1"/>
  <c r="D344" i="1"/>
  <c r="N343" i="1"/>
  <c r="F343" i="1"/>
  <c r="D343" i="1"/>
  <c r="N342" i="1"/>
  <c r="F342" i="1"/>
  <c r="D342" i="1"/>
  <c r="N341" i="1"/>
  <c r="F341" i="1"/>
  <c r="D341" i="1"/>
  <c r="N340" i="1"/>
  <c r="F340" i="1"/>
  <c r="D340" i="1"/>
  <c r="N339" i="1"/>
  <c r="F339" i="1"/>
  <c r="D339" i="1"/>
  <c r="N338" i="1"/>
  <c r="F338" i="1"/>
  <c r="D338" i="1"/>
  <c r="N337" i="1"/>
  <c r="F337" i="1"/>
  <c r="D337" i="1"/>
  <c r="N336" i="1"/>
  <c r="F336" i="1"/>
  <c r="D336" i="1"/>
  <c r="N335" i="1"/>
  <c r="F335" i="1"/>
  <c r="D335" i="1"/>
  <c r="N334" i="1"/>
  <c r="F334" i="1"/>
  <c r="D334" i="1"/>
  <c r="N333" i="1"/>
  <c r="F333" i="1"/>
  <c r="D333" i="1"/>
  <c r="N332" i="1"/>
  <c r="F332" i="1"/>
  <c r="D332" i="1"/>
  <c r="N331" i="1"/>
  <c r="F331" i="1"/>
  <c r="D331" i="1"/>
  <c r="N330" i="1"/>
  <c r="F330" i="1"/>
  <c r="D330" i="1"/>
  <c r="N329" i="1"/>
  <c r="F329" i="1"/>
  <c r="D329" i="1"/>
  <c r="N328" i="1"/>
  <c r="F328" i="1"/>
  <c r="D328" i="1"/>
  <c r="N327" i="1"/>
  <c r="F327" i="1"/>
  <c r="D327" i="1"/>
  <c r="N326" i="1"/>
  <c r="F326" i="1"/>
  <c r="D326" i="1"/>
  <c r="N325" i="1"/>
  <c r="F325" i="1"/>
  <c r="D325" i="1"/>
  <c r="N324" i="1"/>
  <c r="F324" i="1"/>
  <c r="D324" i="1"/>
  <c r="N323" i="1"/>
  <c r="F323" i="1"/>
  <c r="D323" i="1"/>
  <c r="N322" i="1"/>
  <c r="F322" i="1"/>
  <c r="D322" i="1"/>
  <c r="N321" i="1"/>
  <c r="F321" i="1"/>
  <c r="D321" i="1"/>
  <c r="N320" i="1"/>
  <c r="F320" i="1"/>
  <c r="D320" i="1"/>
  <c r="N319" i="1"/>
  <c r="F319" i="1"/>
  <c r="D319" i="1"/>
  <c r="N318" i="1"/>
  <c r="F318" i="1"/>
  <c r="D318" i="1"/>
  <c r="N317" i="1"/>
  <c r="F317" i="1"/>
  <c r="D317" i="1"/>
  <c r="N316" i="1"/>
  <c r="F316" i="1"/>
  <c r="D316" i="1"/>
  <c r="N315" i="1"/>
  <c r="F315" i="1"/>
  <c r="D315" i="1"/>
  <c r="N314" i="1"/>
  <c r="F314" i="1"/>
  <c r="D314" i="1"/>
  <c r="N313" i="1"/>
  <c r="F313" i="1"/>
  <c r="D313" i="1"/>
  <c r="N312" i="1"/>
  <c r="F312" i="1"/>
  <c r="D312" i="1"/>
  <c r="N311" i="1"/>
  <c r="F311" i="1"/>
  <c r="D311" i="1"/>
  <c r="N310" i="1"/>
  <c r="F310" i="1"/>
  <c r="D310" i="1"/>
  <c r="N309" i="1"/>
  <c r="F309" i="1"/>
  <c r="D309" i="1"/>
  <c r="N308" i="1"/>
  <c r="F308" i="1"/>
  <c r="D308" i="1"/>
  <c r="N307" i="1"/>
  <c r="F307" i="1"/>
  <c r="D307" i="1"/>
  <c r="N306" i="1"/>
  <c r="F306" i="1"/>
  <c r="D306" i="1"/>
  <c r="N305" i="1"/>
  <c r="F305" i="1"/>
  <c r="D305" i="1"/>
  <c r="N304" i="1"/>
  <c r="F304" i="1"/>
  <c r="D304" i="1"/>
  <c r="N303" i="1"/>
  <c r="F303" i="1"/>
  <c r="D303" i="1"/>
  <c r="N302" i="1"/>
  <c r="F302" i="1"/>
  <c r="D302" i="1"/>
  <c r="N301" i="1"/>
  <c r="F301" i="1"/>
  <c r="D301" i="1"/>
  <c r="N300" i="1"/>
  <c r="F300" i="1"/>
  <c r="D300" i="1"/>
  <c r="N299" i="1"/>
  <c r="F299" i="1"/>
  <c r="D299" i="1"/>
  <c r="N298" i="1"/>
  <c r="F298" i="1"/>
  <c r="D298" i="1"/>
  <c r="N297" i="1"/>
  <c r="F297" i="1"/>
  <c r="D297" i="1"/>
  <c r="N296" i="1"/>
  <c r="F296" i="1"/>
  <c r="D296" i="1"/>
  <c r="N295" i="1"/>
  <c r="F295" i="1"/>
  <c r="D295" i="1"/>
  <c r="N294" i="1"/>
  <c r="F294" i="1"/>
  <c r="D294" i="1"/>
  <c r="N293" i="1"/>
  <c r="F293" i="1"/>
  <c r="D293" i="1"/>
  <c r="N292" i="1"/>
  <c r="F292" i="1"/>
  <c r="D292" i="1"/>
  <c r="N291" i="1"/>
  <c r="F291" i="1"/>
  <c r="D291" i="1"/>
  <c r="N290" i="1"/>
  <c r="F290" i="1"/>
  <c r="D290" i="1"/>
  <c r="N289" i="1"/>
  <c r="F289" i="1"/>
  <c r="D289" i="1"/>
  <c r="N288" i="1"/>
  <c r="F288" i="1"/>
  <c r="D288" i="1"/>
  <c r="N287" i="1"/>
  <c r="F287" i="1"/>
  <c r="D287" i="1"/>
  <c r="N286" i="1"/>
  <c r="F286" i="1"/>
  <c r="D286" i="1"/>
  <c r="N285" i="1"/>
  <c r="F285" i="1"/>
  <c r="D285" i="1"/>
  <c r="N284" i="1"/>
  <c r="F284" i="1"/>
  <c r="D284" i="1"/>
  <c r="N283" i="1"/>
  <c r="F283" i="1"/>
  <c r="D283" i="1"/>
  <c r="N282" i="1"/>
  <c r="F282" i="1"/>
  <c r="D282" i="1"/>
  <c r="N281" i="1"/>
  <c r="F281" i="1"/>
  <c r="D281" i="1"/>
  <c r="N280" i="1"/>
  <c r="F280" i="1"/>
  <c r="D280" i="1"/>
  <c r="N279" i="1"/>
  <c r="F279" i="1"/>
  <c r="D279" i="1"/>
  <c r="N278" i="1"/>
  <c r="F278" i="1"/>
  <c r="D278" i="1"/>
  <c r="N277" i="1"/>
  <c r="F277" i="1"/>
  <c r="D277" i="1"/>
  <c r="N276" i="1"/>
  <c r="F276" i="1"/>
  <c r="D276" i="1"/>
  <c r="N275" i="1"/>
  <c r="F275" i="1"/>
  <c r="D275" i="1"/>
  <c r="N274" i="1"/>
  <c r="F274" i="1"/>
  <c r="D274" i="1"/>
  <c r="N273" i="1"/>
  <c r="F273" i="1"/>
  <c r="D273" i="1"/>
  <c r="N272" i="1"/>
  <c r="F272" i="1"/>
  <c r="D272" i="1"/>
  <c r="N271" i="1"/>
  <c r="F271" i="1"/>
  <c r="D271" i="1"/>
  <c r="N270" i="1"/>
  <c r="F270" i="1"/>
  <c r="D270" i="1"/>
  <c r="N269" i="1"/>
  <c r="F269" i="1"/>
  <c r="D269" i="1"/>
  <c r="N268" i="1"/>
  <c r="F268" i="1"/>
  <c r="D268" i="1"/>
  <c r="N267" i="1"/>
  <c r="F267" i="1"/>
  <c r="D267" i="1"/>
  <c r="N266" i="1"/>
  <c r="F266" i="1"/>
  <c r="D266" i="1"/>
  <c r="N265" i="1"/>
  <c r="F265" i="1"/>
  <c r="D265" i="1"/>
  <c r="N264" i="1"/>
  <c r="F264" i="1"/>
  <c r="D264" i="1"/>
  <c r="N263" i="1"/>
  <c r="F263" i="1"/>
  <c r="D263" i="1"/>
  <c r="N262" i="1"/>
  <c r="F262" i="1"/>
  <c r="D262" i="1"/>
  <c r="N261" i="1"/>
  <c r="F261" i="1"/>
  <c r="D261" i="1"/>
  <c r="N260" i="1"/>
  <c r="F260" i="1"/>
  <c r="D260" i="1"/>
  <c r="N259" i="1"/>
  <c r="F259" i="1"/>
  <c r="D259" i="1"/>
  <c r="N258" i="1"/>
  <c r="F258" i="1"/>
  <c r="D258" i="1"/>
  <c r="N257" i="1"/>
  <c r="F257" i="1"/>
  <c r="D257" i="1"/>
  <c r="N256" i="1"/>
  <c r="F256" i="1"/>
  <c r="D256" i="1"/>
  <c r="N255" i="1"/>
  <c r="F255" i="1"/>
  <c r="D255" i="1"/>
  <c r="N254" i="1"/>
  <c r="F254" i="1"/>
  <c r="D254" i="1"/>
  <c r="N253" i="1"/>
  <c r="F253" i="1"/>
  <c r="D253" i="1"/>
  <c r="N252" i="1"/>
  <c r="F252" i="1"/>
  <c r="D252" i="1"/>
  <c r="N251" i="1"/>
  <c r="F251" i="1"/>
  <c r="D251" i="1"/>
  <c r="N250" i="1"/>
  <c r="F250" i="1"/>
  <c r="D250" i="1"/>
  <c r="N249" i="1"/>
  <c r="F249" i="1"/>
  <c r="D249" i="1"/>
  <c r="N248" i="1"/>
  <c r="F248" i="1"/>
  <c r="D248" i="1"/>
  <c r="N247" i="1"/>
  <c r="F247" i="1"/>
  <c r="D247" i="1"/>
  <c r="N246" i="1"/>
  <c r="F246" i="1"/>
  <c r="D246" i="1"/>
  <c r="N245" i="1"/>
  <c r="F245" i="1"/>
  <c r="D245" i="1"/>
  <c r="N244" i="1"/>
  <c r="F244" i="1"/>
  <c r="D244" i="1"/>
  <c r="N243" i="1"/>
  <c r="F243" i="1"/>
  <c r="D243" i="1"/>
  <c r="N242" i="1"/>
  <c r="F242" i="1"/>
  <c r="D242" i="1"/>
  <c r="N241" i="1"/>
  <c r="F241" i="1"/>
  <c r="D241" i="1"/>
  <c r="N240" i="1"/>
  <c r="F240" i="1"/>
  <c r="D240" i="1"/>
  <c r="N239" i="1"/>
  <c r="F239" i="1"/>
  <c r="D239" i="1"/>
  <c r="N238" i="1"/>
  <c r="F238" i="1"/>
  <c r="D238" i="1"/>
  <c r="N237" i="1"/>
  <c r="F237" i="1"/>
  <c r="D237" i="1"/>
  <c r="N236" i="1"/>
  <c r="F236" i="1"/>
  <c r="D236" i="1"/>
  <c r="N235" i="1"/>
  <c r="F235" i="1"/>
  <c r="D235" i="1"/>
  <c r="N234" i="1"/>
  <c r="F234" i="1"/>
  <c r="D234" i="1"/>
  <c r="N233" i="1"/>
  <c r="F233" i="1"/>
  <c r="D233" i="1"/>
  <c r="N232" i="1"/>
  <c r="F232" i="1"/>
  <c r="D232" i="1"/>
  <c r="N231" i="1"/>
  <c r="F231" i="1"/>
  <c r="D231" i="1"/>
  <c r="N230" i="1"/>
  <c r="F230" i="1"/>
  <c r="D230" i="1"/>
  <c r="N229" i="1"/>
  <c r="F229" i="1"/>
  <c r="D229" i="1"/>
  <c r="N228" i="1"/>
  <c r="F228" i="1"/>
  <c r="D228" i="1"/>
  <c r="N227" i="1"/>
  <c r="F227" i="1"/>
  <c r="D227" i="1"/>
  <c r="N226" i="1"/>
  <c r="F226" i="1"/>
  <c r="D226" i="1"/>
  <c r="N225" i="1"/>
  <c r="F225" i="1"/>
  <c r="D225" i="1"/>
  <c r="N224" i="1"/>
  <c r="F224" i="1"/>
  <c r="D224" i="1"/>
  <c r="N223" i="1"/>
  <c r="F223" i="1"/>
  <c r="D223" i="1"/>
  <c r="N222" i="1"/>
  <c r="F222" i="1"/>
  <c r="D222" i="1"/>
  <c r="N221" i="1"/>
  <c r="F221" i="1"/>
  <c r="D221" i="1"/>
  <c r="N220" i="1"/>
  <c r="F220" i="1"/>
  <c r="D220" i="1"/>
  <c r="N219" i="1"/>
  <c r="F219" i="1"/>
  <c r="D219" i="1"/>
  <c r="N218" i="1"/>
  <c r="F218" i="1"/>
  <c r="D218" i="1"/>
  <c r="N217" i="1"/>
  <c r="F217" i="1"/>
  <c r="D217" i="1"/>
  <c r="N216" i="1"/>
  <c r="F216" i="1"/>
  <c r="D216" i="1"/>
  <c r="N215" i="1"/>
  <c r="F215" i="1"/>
  <c r="D215" i="1"/>
  <c r="N214" i="1"/>
  <c r="F214" i="1"/>
  <c r="D214" i="1"/>
  <c r="N213" i="1"/>
  <c r="F213" i="1"/>
  <c r="D213" i="1"/>
  <c r="N212" i="1"/>
  <c r="F212" i="1"/>
  <c r="D212" i="1"/>
  <c r="N211" i="1"/>
  <c r="F211" i="1"/>
  <c r="D211" i="1"/>
  <c r="N210" i="1"/>
  <c r="F210" i="1"/>
  <c r="D210" i="1"/>
  <c r="N209" i="1"/>
  <c r="F209" i="1"/>
  <c r="D209" i="1"/>
  <c r="N208" i="1"/>
  <c r="F208" i="1"/>
  <c r="D208" i="1"/>
  <c r="N207" i="1"/>
  <c r="F207" i="1"/>
  <c r="D207" i="1"/>
  <c r="N206" i="1"/>
  <c r="F206" i="1"/>
  <c r="D206" i="1"/>
  <c r="N205" i="1"/>
  <c r="F205" i="1"/>
  <c r="D205" i="1"/>
  <c r="N204" i="1"/>
  <c r="F204" i="1"/>
  <c r="D204" i="1"/>
  <c r="N203" i="1"/>
  <c r="F203" i="1"/>
  <c r="D203" i="1"/>
  <c r="N202" i="1"/>
  <c r="F202" i="1"/>
  <c r="D202" i="1"/>
  <c r="N201" i="1"/>
  <c r="F201" i="1"/>
  <c r="D201" i="1"/>
  <c r="N200" i="1"/>
  <c r="F200" i="1"/>
  <c r="D200" i="1"/>
  <c r="N199" i="1"/>
  <c r="F199" i="1"/>
  <c r="D199" i="1"/>
  <c r="N198" i="1"/>
  <c r="F198" i="1"/>
  <c r="D198" i="1"/>
  <c r="N197" i="1"/>
  <c r="F197" i="1"/>
  <c r="D197" i="1"/>
  <c r="N196" i="1"/>
  <c r="F196" i="1"/>
  <c r="D196" i="1"/>
  <c r="N195" i="1"/>
  <c r="F195" i="1"/>
  <c r="D195" i="1"/>
  <c r="N194" i="1"/>
  <c r="F194" i="1"/>
  <c r="D194" i="1"/>
  <c r="N193" i="1"/>
  <c r="F193" i="1"/>
  <c r="D193" i="1"/>
  <c r="N192" i="1"/>
  <c r="F192" i="1"/>
  <c r="D192" i="1"/>
  <c r="N191" i="1"/>
  <c r="F191" i="1"/>
  <c r="D191" i="1"/>
  <c r="N190" i="1"/>
  <c r="F190" i="1"/>
  <c r="D190" i="1"/>
  <c r="N189" i="1"/>
  <c r="F189" i="1"/>
  <c r="D189" i="1"/>
  <c r="N188" i="1"/>
  <c r="F188" i="1"/>
  <c r="D188" i="1"/>
  <c r="N187" i="1"/>
  <c r="F187" i="1"/>
  <c r="D187" i="1"/>
  <c r="N186" i="1"/>
  <c r="F186" i="1"/>
  <c r="D186" i="1"/>
  <c r="N185" i="1"/>
  <c r="F185" i="1"/>
  <c r="D185" i="1"/>
  <c r="N184" i="1"/>
  <c r="F184" i="1"/>
  <c r="D184" i="1"/>
  <c r="N183" i="1"/>
  <c r="F183" i="1"/>
  <c r="D183" i="1"/>
  <c r="N182" i="1"/>
  <c r="F182" i="1"/>
  <c r="D182" i="1"/>
  <c r="N181" i="1"/>
  <c r="F181" i="1"/>
  <c r="D181" i="1"/>
  <c r="N180" i="1"/>
  <c r="F180" i="1"/>
  <c r="D180" i="1"/>
  <c r="N179" i="1"/>
  <c r="F179" i="1"/>
  <c r="D179" i="1"/>
  <c r="N178" i="1"/>
  <c r="F178" i="1"/>
  <c r="D178" i="1"/>
  <c r="N177" i="1"/>
  <c r="F177" i="1"/>
  <c r="D177" i="1"/>
  <c r="N176" i="1"/>
  <c r="F176" i="1"/>
  <c r="D176" i="1"/>
  <c r="N175" i="1"/>
  <c r="F175" i="1"/>
  <c r="D175" i="1"/>
  <c r="N174" i="1"/>
  <c r="F174" i="1"/>
  <c r="D174" i="1"/>
  <c r="N173" i="1"/>
  <c r="F173" i="1"/>
  <c r="D173" i="1"/>
  <c r="N172" i="1"/>
  <c r="F172" i="1"/>
  <c r="D172" i="1"/>
  <c r="N171" i="1"/>
  <c r="F171" i="1"/>
  <c r="D171" i="1"/>
  <c r="N170" i="1"/>
  <c r="F170" i="1"/>
  <c r="D170" i="1"/>
  <c r="N169" i="1"/>
  <c r="F169" i="1"/>
  <c r="D169" i="1"/>
  <c r="N168" i="1"/>
  <c r="F168" i="1"/>
  <c r="D168" i="1"/>
  <c r="N167" i="1"/>
  <c r="F167" i="1"/>
  <c r="D167" i="1"/>
  <c r="N166" i="1"/>
  <c r="F166" i="1"/>
  <c r="D166" i="1"/>
  <c r="N165" i="1"/>
  <c r="F165" i="1"/>
  <c r="D165" i="1"/>
  <c r="N164" i="1"/>
  <c r="F164" i="1"/>
  <c r="D164" i="1"/>
  <c r="N163" i="1"/>
  <c r="F163" i="1"/>
  <c r="D163" i="1"/>
  <c r="N162" i="1"/>
  <c r="F162" i="1"/>
  <c r="D162" i="1"/>
  <c r="N161" i="1"/>
  <c r="F161" i="1"/>
  <c r="D161" i="1"/>
  <c r="N160" i="1"/>
  <c r="F160" i="1"/>
  <c r="D160" i="1"/>
  <c r="N159" i="1"/>
  <c r="F159" i="1"/>
  <c r="D159" i="1"/>
  <c r="N158" i="1"/>
  <c r="F158" i="1"/>
  <c r="D158" i="1"/>
  <c r="N157" i="1"/>
  <c r="F157" i="1"/>
  <c r="D157" i="1"/>
  <c r="N156" i="1"/>
  <c r="F156" i="1"/>
  <c r="D156" i="1"/>
  <c r="N155" i="1"/>
  <c r="F155" i="1"/>
  <c r="D155" i="1"/>
  <c r="N154" i="1"/>
  <c r="F154" i="1"/>
  <c r="D154" i="1"/>
  <c r="N153" i="1"/>
  <c r="F153" i="1"/>
  <c r="D153" i="1"/>
  <c r="N152" i="1"/>
  <c r="F152" i="1"/>
  <c r="D152" i="1"/>
  <c r="N151" i="1"/>
  <c r="F151" i="1"/>
  <c r="D151" i="1"/>
  <c r="N150" i="1"/>
  <c r="F150" i="1"/>
  <c r="D150" i="1"/>
  <c r="N149" i="1"/>
  <c r="F149" i="1"/>
  <c r="D149" i="1"/>
  <c r="N148" i="1"/>
  <c r="F148" i="1"/>
  <c r="D148" i="1"/>
  <c r="N147" i="1"/>
  <c r="F147" i="1"/>
  <c r="D147" i="1"/>
  <c r="N146" i="1"/>
  <c r="F146" i="1"/>
  <c r="D146" i="1"/>
  <c r="N145" i="1"/>
  <c r="F145" i="1"/>
  <c r="D145" i="1"/>
  <c r="N144" i="1"/>
  <c r="F144" i="1"/>
  <c r="D144" i="1"/>
  <c r="N143" i="1"/>
  <c r="F143" i="1"/>
  <c r="D143" i="1"/>
  <c r="N142" i="1"/>
  <c r="F142" i="1"/>
  <c r="D142" i="1"/>
  <c r="N141" i="1"/>
  <c r="F141" i="1"/>
  <c r="D141" i="1"/>
  <c r="N140" i="1"/>
  <c r="F140" i="1"/>
  <c r="D140" i="1"/>
  <c r="N139" i="1"/>
  <c r="F139" i="1"/>
  <c r="D139" i="1"/>
  <c r="N138" i="1"/>
  <c r="F138" i="1"/>
  <c r="D138" i="1"/>
  <c r="N137" i="1"/>
  <c r="F137" i="1"/>
  <c r="D137" i="1"/>
  <c r="N136" i="1"/>
  <c r="F136" i="1"/>
  <c r="D136" i="1"/>
  <c r="N135" i="1"/>
  <c r="F135" i="1"/>
  <c r="D135" i="1"/>
  <c r="N134" i="1"/>
  <c r="F134" i="1"/>
  <c r="D134" i="1"/>
  <c r="N133" i="1"/>
  <c r="F133" i="1"/>
  <c r="D133" i="1"/>
  <c r="N132" i="1"/>
  <c r="F132" i="1"/>
  <c r="D132" i="1"/>
  <c r="N131" i="1"/>
  <c r="F131" i="1"/>
  <c r="D131" i="1"/>
  <c r="N130" i="1"/>
  <c r="F130" i="1"/>
  <c r="D130" i="1"/>
  <c r="N129" i="1"/>
  <c r="F129" i="1"/>
  <c r="D129" i="1"/>
  <c r="N128" i="1"/>
  <c r="F128" i="1"/>
  <c r="D128" i="1"/>
  <c r="N127" i="1"/>
  <c r="F127" i="1"/>
  <c r="D127" i="1"/>
  <c r="N126" i="1"/>
  <c r="F126" i="1"/>
  <c r="D126" i="1"/>
  <c r="N125" i="1"/>
  <c r="F125" i="1"/>
  <c r="D125" i="1"/>
  <c r="N124" i="1"/>
  <c r="F124" i="1"/>
  <c r="D124" i="1"/>
  <c r="N123" i="1"/>
  <c r="F123" i="1"/>
  <c r="D123" i="1"/>
  <c r="N122" i="1"/>
  <c r="F122" i="1"/>
  <c r="D122" i="1"/>
  <c r="N121" i="1"/>
  <c r="F121" i="1"/>
  <c r="D121" i="1"/>
  <c r="N120" i="1"/>
  <c r="F120" i="1"/>
  <c r="D120" i="1"/>
  <c r="N119" i="1"/>
  <c r="F119" i="1"/>
  <c r="D119" i="1"/>
  <c r="N118" i="1"/>
  <c r="F118" i="1"/>
  <c r="D118" i="1"/>
  <c r="N117" i="1"/>
  <c r="F117" i="1"/>
  <c r="D117" i="1"/>
  <c r="N116" i="1"/>
  <c r="F116" i="1"/>
  <c r="D116" i="1"/>
  <c r="N115" i="1"/>
  <c r="F115" i="1"/>
  <c r="D115" i="1"/>
  <c r="N114" i="1"/>
  <c r="F114" i="1"/>
  <c r="D114" i="1"/>
  <c r="N113" i="1"/>
  <c r="F113" i="1"/>
  <c r="D113" i="1"/>
  <c r="N112" i="1"/>
  <c r="F112" i="1"/>
  <c r="D112" i="1"/>
  <c r="N111" i="1"/>
  <c r="F111" i="1"/>
  <c r="D111" i="1"/>
  <c r="N110" i="1"/>
  <c r="F110" i="1"/>
  <c r="D110" i="1"/>
  <c r="N109" i="1"/>
  <c r="F109" i="1"/>
  <c r="D109" i="1"/>
  <c r="N108" i="1"/>
  <c r="F108" i="1"/>
  <c r="D108" i="1"/>
  <c r="N107" i="1"/>
  <c r="F107" i="1"/>
  <c r="D107" i="1"/>
  <c r="N106" i="1"/>
  <c r="F106" i="1"/>
  <c r="D106" i="1"/>
  <c r="N105" i="1"/>
  <c r="F105" i="1"/>
  <c r="D105" i="1"/>
  <c r="N104" i="1"/>
  <c r="F104" i="1"/>
  <c r="D104" i="1"/>
  <c r="N103" i="1"/>
  <c r="F103" i="1"/>
  <c r="D103" i="1"/>
  <c r="N102" i="1"/>
  <c r="F102" i="1"/>
  <c r="D102" i="1"/>
  <c r="N101" i="1"/>
  <c r="F101" i="1"/>
  <c r="D101" i="1"/>
  <c r="N100" i="1"/>
  <c r="F100" i="1"/>
  <c r="D100" i="1"/>
  <c r="N99" i="1"/>
  <c r="F99" i="1"/>
  <c r="D99" i="1"/>
  <c r="N98" i="1"/>
  <c r="F98" i="1"/>
  <c r="D98" i="1"/>
  <c r="N97" i="1"/>
  <c r="F97" i="1"/>
  <c r="D97" i="1"/>
  <c r="N96" i="1"/>
  <c r="F96" i="1"/>
  <c r="D96" i="1"/>
  <c r="N95" i="1"/>
  <c r="F95" i="1"/>
  <c r="D95" i="1"/>
  <c r="N94" i="1"/>
  <c r="F94" i="1"/>
  <c r="D94" i="1"/>
  <c r="N93" i="1"/>
  <c r="F93" i="1"/>
  <c r="D93" i="1"/>
  <c r="N92" i="1"/>
  <c r="F92" i="1"/>
  <c r="D92" i="1"/>
  <c r="N91" i="1"/>
  <c r="F91" i="1"/>
  <c r="D91" i="1"/>
  <c r="N90" i="1"/>
  <c r="F90" i="1"/>
  <c r="D90" i="1"/>
  <c r="N89" i="1"/>
  <c r="F89" i="1"/>
  <c r="D89" i="1"/>
  <c r="N88" i="1"/>
  <c r="F88" i="1"/>
  <c r="D88" i="1"/>
  <c r="N87" i="1"/>
  <c r="F87" i="1"/>
  <c r="D87" i="1"/>
  <c r="N86" i="1"/>
  <c r="F86" i="1"/>
  <c r="D86" i="1"/>
  <c r="N85" i="1"/>
  <c r="F85" i="1"/>
  <c r="D85" i="1"/>
  <c r="N84" i="1"/>
  <c r="F84" i="1"/>
  <c r="D84" i="1"/>
  <c r="N83" i="1"/>
  <c r="F83" i="1"/>
  <c r="D83" i="1"/>
  <c r="N82" i="1"/>
  <c r="F82" i="1"/>
  <c r="D82" i="1"/>
  <c r="N81" i="1"/>
  <c r="F81" i="1"/>
  <c r="D81" i="1"/>
  <c r="N80" i="1"/>
  <c r="F80" i="1"/>
  <c r="D80" i="1"/>
  <c r="N79" i="1"/>
  <c r="F79" i="1"/>
  <c r="D79" i="1"/>
  <c r="N78" i="1"/>
  <c r="F78" i="1"/>
  <c r="D78" i="1"/>
  <c r="N77" i="1"/>
  <c r="F77" i="1"/>
  <c r="D77" i="1"/>
  <c r="N76" i="1"/>
  <c r="F76" i="1"/>
  <c r="D76" i="1"/>
  <c r="N75" i="1"/>
  <c r="F75" i="1"/>
  <c r="D75" i="1"/>
  <c r="N74" i="1"/>
  <c r="F74" i="1"/>
  <c r="D74" i="1"/>
  <c r="N73" i="1"/>
  <c r="F73" i="1"/>
  <c r="D73" i="1"/>
  <c r="N72" i="1"/>
  <c r="F72" i="1"/>
  <c r="D72" i="1"/>
  <c r="N71" i="1"/>
  <c r="F71" i="1"/>
  <c r="D71" i="1"/>
  <c r="N70" i="1"/>
  <c r="F70" i="1"/>
  <c r="D70" i="1"/>
  <c r="N69" i="1"/>
  <c r="F69" i="1"/>
  <c r="D69" i="1"/>
  <c r="N68" i="1"/>
  <c r="F68" i="1"/>
  <c r="D68" i="1"/>
  <c r="N67" i="1"/>
  <c r="F67" i="1"/>
  <c r="D67" i="1"/>
  <c r="N66" i="1"/>
  <c r="F66" i="1"/>
  <c r="D66" i="1"/>
  <c r="N65" i="1"/>
  <c r="F65" i="1"/>
  <c r="D65" i="1"/>
  <c r="N64" i="1"/>
  <c r="F64" i="1"/>
  <c r="D64" i="1"/>
  <c r="N63" i="1"/>
  <c r="F63" i="1"/>
  <c r="D63" i="1"/>
  <c r="N62" i="1"/>
  <c r="F62" i="1"/>
  <c r="D62" i="1"/>
  <c r="N61" i="1"/>
  <c r="F61" i="1"/>
  <c r="D61" i="1"/>
  <c r="N60" i="1"/>
  <c r="F60" i="1"/>
  <c r="D60" i="1"/>
  <c r="N59" i="1"/>
  <c r="F59" i="1"/>
  <c r="D59" i="1"/>
  <c r="N58" i="1"/>
  <c r="F58" i="1"/>
  <c r="D58" i="1"/>
  <c r="N57" i="1"/>
  <c r="F57" i="1"/>
  <c r="D57" i="1"/>
  <c r="N56" i="1"/>
  <c r="F56" i="1"/>
  <c r="D56" i="1"/>
  <c r="N55" i="1"/>
  <c r="F55" i="1"/>
  <c r="D55" i="1"/>
  <c r="N54" i="1"/>
  <c r="F54" i="1"/>
  <c r="D54" i="1"/>
  <c r="N53" i="1"/>
  <c r="F53" i="1"/>
  <c r="D53" i="1"/>
  <c r="N52" i="1"/>
  <c r="F52" i="1"/>
  <c r="D52" i="1"/>
  <c r="N51" i="1"/>
  <c r="F51" i="1"/>
  <c r="D51" i="1"/>
  <c r="N50" i="1"/>
  <c r="F50" i="1"/>
  <c r="D50" i="1"/>
  <c r="N49" i="1"/>
  <c r="F49" i="1"/>
  <c r="D49" i="1"/>
  <c r="N48" i="1"/>
  <c r="F48" i="1"/>
  <c r="D48" i="1"/>
  <c r="N47" i="1"/>
  <c r="F47" i="1"/>
  <c r="D47" i="1"/>
  <c r="N46" i="1"/>
  <c r="F46" i="1"/>
  <c r="D46" i="1"/>
  <c r="N45" i="1"/>
  <c r="F45" i="1"/>
  <c r="D45" i="1"/>
  <c r="N44" i="1"/>
  <c r="F44" i="1"/>
  <c r="D44" i="1"/>
  <c r="N43" i="1"/>
  <c r="F43" i="1"/>
  <c r="D43" i="1"/>
  <c r="N42" i="1"/>
  <c r="F42" i="1"/>
  <c r="D42" i="1"/>
  <c r="N41" i="1"/>
  <c r="F41" i="1"/>
  <c r="D41" i="1"/>
  <c r="N40" i="1"/>
  <c r="F40" i="1"/>
  <c r="D40" i="1"/>
  <c r="N39" i="1"/>
  <c r="F39" i="1"/>
  <c r="D39" i="1"/>
  <c r="N38" i="1"/>
  <c r="F38" i="1"/>
  <c r="D38" i="1"/>
  <c r="N37" i="1"/>
  <c r="F37" i="1"/>
  <c r="D37" i="1"/>
  <c r="N36" i="1"/>
  <c r="F36" i="1"/>
  <c r="D36" i="1"/>
  <c r="N35" i="1"/>
  <c r="F35" i="1"/>
  <c r="D35" i="1"/>
  <c r="N34" i="1"/>
  <c r="F34" i="1"/>
  <c r="D34" i="1"/>
  <c r="N33" i="1"/>
  <c r="F33" i="1"/>
  <c r="D33" i="1"/>
  <c r="N32" i="1"/>
  <c r="F32" i="1"/>
  <c r="D32" i="1"/>
  <c r="N31" i="1"/>
  <c r="F31" i="1"/>
  <c r="D31" i="1"/>
  <c r="N30" i="1"/>
  <c r="F30" i="1"/>
  <c r="D30" i="1"/>
  <c r="N29" i="1"/>
  <c r="F29" i="1"/>
  <c r="D29" i="1"/>
  <c r="N28" i="1"/>
  <c r="F28" i="1"/>
  <c r="D28" i="1"/>
  <c r="N27" i="1"/>
  <c r="F27" i="1"/>
  <c r="D27" i="1"/>
  <c r="N26" i="1"/>
  <c r="F26" i="1"/>
  <c r="D26" i="1"/>
  <c r="N25" i="1"/>
  <c r="F25" i="1"/>
  <c r="D25" i="1"/>
  <c r="N24" i="1"/>
  <c r="F24" i="1"/>
  <c r="D24" i="1"/>
  <c r="N23" i="1"/>
  <c r="F23" i="1"/>
  <c r="D23" i="1"/>
  <c r="N22" i="1"/>
  <c r="F22" i="1"/>
  <c r="D22" i="1"/>
  <c r="N21" i="1"/>
  <c r="F21" i="1"/>
  <c r="D21" i="1"/>
  <c r="N20" i="1"/>
  <c r="F20" i="1"/>
  <c r="D20" i="1"/>
  <c r="N19" i="1"/>
  <c r="F19" i="1"/>
  <c r="D19" i="1"/>
  <c r="N18" i="1"/>
  <c r="F18" i="1"/>
  <c r="D18" i="1"/>
  <c r="N17" i="1"/>
  <c r="F17" i="1"/>
  <c r="D17" i="1"/>
  <c r="N16" i="1"/>
  <c r="F16" i="1"/>
  <c r="D16" i="1"/>
  <c r="N15" i="1"/>
  <c r="F15" i="1"/>
  <c r="D15" i="1"/>
  <c r="N14" i="1"/>
  <c r="F14" i="1"/>
  <c r="D14" i="1"/>
  <c r="N13" i="1"/>
  <c r="F13" i="1"/>
  <c r="D13" i="1"/>
  <c r="N12" i="1"/>
  <c r="F12" i="1"/>
  <c r="D12" i="1"/>
  <c r="N11" i="1"/>
  <c r="F11" i="1"/>
  <c r="D11" i="1"/>
  <c r="N10" i="1"/>
  <c r="F10" i="1"/>
  <c r="D10" i="1"/>
  <c r="N9" i="1"/>
  <c r="F9" i="1"/>
  <c r="D9" i="1"/>
  <c r="N8" i="1"/>
  <c r="F8" i="1"/>
  <c r="D8" i="1"/>
  <c r="N7" i="1"/>
  <c r="F7" i="1"/>
  <c r="D7" i="1"/>
  <c r="N6" i="1"/>
  <c r="F6" i="1"/>
  <c r="D6" i="1"/>
  <c r="N5" i="1"/>
  <c r="F5" i="1"/>
  <c r="D5" i="1"/>
  <c r="N4" i="1"/>
  <c r="F4" i="1"/>
  <c r="D4" i="1"/>
  <c r="N3" i="1"/>
  <c r="F3" i="1"/>
  <c r="D3" i="1"/>
  <c r="N2" i="1"/>
  <c r="F2" i="1"/>
  <c r="D2" i="1"/>
</calcChain>
</file>

<file path=xl/sharedStrings.xml><?xml version="1.0" encoding="utf-8"?>
<sst xmlns="http://schemas.openxmlformats.org/spreadsheetml/2006/main" count="2167" uniqueCount="174">
  <si>
    <t>Date</t>
  </si>
  <si>
    <t>Year</t>
  </si>
  <si>
    <t>Day of year</t>
  </si>
  <si>
    <t>Day of week</t>
  </si>
  <si>
    <t>BM</t>
  </si>
  <si>
    <t>SW</t>
  </si>
  <si>
    <t>NW</t>
  </si>
  <si>
    <t>N</t>
  </si>
  <si>
    <t>HM</t>
  </si>
  <si>
    <t>E</t>
  </si>
  <si>
    <t>NE</t>
  </si>
  <si>
    <t>SE</t>
  </si>
  <si>
    <t>Ü</t>
  </si>
  <si>
    <t>S</t>
  </si>
  <si>
    <t>HB</t>
  </si>
  <si>
    <t>Sz</t>
  </si>
  <si>
    <t>W</t>
  </si>
  <si>
    <t>HFz</t>
  </si>
  <si>
    <t>Nz</t>
  </si>
  <si>
    <t>Na</t>
  </si>
  <si>
    <t>Nwa</t>
  </si>
  <si>
    <t>Swa</t>
  </si>
  <si>
    <t>Nea</t>
  </si>
  <si>
    <t>TrW</t>
  </si>
  <si>
    <t>NEa</t>
  </si>
  <si>
    <t>Hna</t>
  </si>
  <si>
    <t>HNFa</t>
  </si>
  <si>
    <t>SEa</t>
  </si>
  <si>
    <t>Wz</t>
  </si>
  <si>
    <t>NWz</t>
  </si>
  <si>
    <t>TrM</t>
  </si>
  <si>
    <t>Wa</t>
  </si>
  <si>
    <t>SWa</t>
  </si>
  <si>
    <t>SWz</t>
  </si>
  <si>
    <t>HNa</t>
  </si>
  <si>
    <t>Sa</t>
  </si>
  <si>
    <t>TB</t>
  </si>
  <si>
    <t>Ww</t>
  </si>
  <si>
    <t>HNFz</t>
  </si>
  <si>
    <t>HNz</t>
  </si>
  <si>
    <t>Ws</t>
  </si>
  <si>
    <t>Hfa</t>
  </si>
  <si>
    <t>HFa</t>
  </si>
  <si>
    <t>NEz</t>
  </si>
  <si>
    <t>NWa</t>
  </si>
  <si>
    <t>DWL IOP 1</t>
  </si>
  <si>
    <t>SEz</t>
  </si>
  <si>
    <t>WS</t>
  </si>
  <si>
    <t>DWL IOP 2</t>
  </si>
  <si>
    <t>WW</t>
  </si>
  <si>
    <t>Radiosoundings</t>
  </si>
  <si>
    <t>TM</t>
  </si>
  <si>
    <t>Number</t>
  </si>
  <si>
    <t>ID</t>
  </si>
  <si>
    <t>Synoptic type</t>
  </si>
  <si>
    <t>Cyclonic, Anticyclonic, Mixed</t>
  </si>
  <si>
    <t>Description English (James, 2007)</t>
  </si>
  <si>
    <t>Description (German, original)</t>
  </si>
  <si>
    <t>Zonal</t>
  </si>
  <si>
    <t>A</t>
  </si>
  <si>
    <t>Anticyclonic Westerly</t>
  </si>
  <si>
    <t>Westlage, Mitteleuropa überwiegend antizyklonal</t>
  </si>
  <si>
    <t>C</t>
  </si>
  <si>
    <t>Cyclonic Westerly</t>
  </si>
  <si>
    <t>Westlage, Mitteleuropa überwiegend zyklonal</t>
  </si>
  <si>
    <t>M</t>
  </si>
  <si>
    <t>South-Shifted Westerly</t>
  </si>
  <si>
    <t>Südliche Westlage</t>
  </si>
  <si>
    <t>Maritime Westerly (Block Eastern Europe)</t>
  </si>
  <si>
    <t>Winkelförmige Westlage</t>
  </si>
  <si>
    <t>Mixed</t>
  </si>
  <si>
    <t>Anticyclonic South-Westerly</t>
  </si>
  <si>
    <t>Südwestlage, Mitteleuropa überwiegend antizyklonal</t>
  </si>
  <si>
    <t>Cyclonic South-Westerly</t>
  </si>
  <si>
    <t>Südwestlage, Mitteleuropa überwiegend zyklonal</t>
  </si>
  <si>
    <t>Anticyclonic North-Westerly</t>
  </si>
  <si>
    <t>Nordwestlage, Mitteleuropa überwiegend antizyklonal</t>
  </si>
  <si>
    <t>Cyclonic North-Westerly</t>
  </si>
  <si>
    <t>Nordwestlage, Mitteleuropa überwiegend zyklonal</t>
  </si>
  <si>
    <t>High over Central Europe</t>
  </si>
  <si>
    <t>Hoch Mitteleuropa</t>
  </si>
  <si>
    <t>Zonal Ridge across Central Europe</t>
  </si>
  <si>
    <t>Hochdruckbrücke Mitteleuropa</t>
  </si>
  <si>
    <t>Low (Cut-Off) over Central Europe</t>
  </si>
  <si>
    <t>Tief Mitteleuropa</t>
  </si>
  <si>
    <t>Meridional</t>
  </si>
  <si>
    <t>Anticyclonic Northerly</t>
  </si>
  <si>
    <t>Nordlage, Mitteleuropa überwiegend antizyklonal</t>
  </si>
  <si>
    <t>Cyclonic Northerly</t>
  </si>
  <si>
    <t>Nordlage, Mitteleuropa überwiegend zyklonal</t>
  </si>
  <si>
    <t>Icelandic High, Ride Central Europe</t>
  </si>
  <si>
    <t>Hoch Nordmeer-Island, Mitteleuropa überwiegend antizyklonal</t>
  </si>
  <si>
    <t>Icelandic High, Trough Central Europe</t>
  </si>
  <si>
    <t>Hoch Nordmeer-Island, Mitteleuropa überwiegend zyklonal</t>
  </si>
  <si>
    <t>High over the British Isles</t>
  </si>
  <si>
    <t>Hoch Britische Inseln</t>
  </si>
  <si>
    <t>Trough over Central Europe</t>
  </si>
  <si>
    <t>Trog Mitteleuropa</t>
  </si>
  <si>
    <t>Anticyclonic North-Easterly</t>
  </si>
  <si>
    <t>Nordostlage, Mitteleuropa überwiegend antizyklonal</t>
  </si>
  <si>
    <t>Cyclonic North-Easterly</t>
  </si>
  <si>
    <t>Nordostlage, Mitteleuropa überwiegend zyklonal</t>
  </si>
  <si>
    <t>Scandinavian High, Ridge Central Europe</t>
  </si>
  <si>
    <t>Hoch Fennoskandien, Mitteleuropa überwiegend antizyklonal</t>
  </si>
  <si>
    <t>Scandinavian High, Trough Central Europe</t>
  </si>
  <si>
    <t>Hoch Fennoskandien, Mitteleuropa überwiegend zyklonal</t>
  </si>
  <si>
    <t>High Scandinavia-Iceland, Ridge Central Europe</t>
  </si>
  <si>
    <t>Hoch Nordmeer-Fennoskandien, Mitteleuropa überwiegend antizyklonal</t>
  </si>
  <si>
    <t>High Scandinavia-Iceland, Trough Central Europe</t>
  </si>
  <si>
    <t>Hoch Nordmeer-Fennoskandien, Mitteleuropa überwiegend zyklonal</t>
  </si>
  <si>
    <t>Anticyclonic South-Easterly</t>
  </si>
  <si>
    <t>Südostlage, Mitteleuropa überwiegend antizyklonal</t>
  </si>
  <si>
    <t>Cyclonic South-Easterly</t>
  </si>
  <si>
    <t>Südostlage, Mitteleuropa überwiegend zyklonal</t>
  </si>
  <si>
    <t>Anticyclonic Southerly</t>
  </si>
  <si>
    <t>Südlage, Mitteleuropa überwiegend antizyklonal</t>
  </si>
  <si>
    <t>Cyclonic Southerly</t>
  </si>
  <si>
    <t>Südlage, Mitteleuropa überwiegend zyklonal</t>
  </si>
  <si>
    <t>Low over the British Isles</t>
  </si>
  <si>
    <t>Tief Britische Inseln</t>
  </si>
  <si>
    <t>Trough over Wester Europe</t>
  </si>
  <si>
    <t>Trog Westeuropa</t>
  </si>
  <si>
    <t>Undefined</t>
  </si>
  <si>
    <t>Transistion / Undefined</t>
  </si>
  <si>
    <t>Übergangslage / Unbestimmt</t>
  </si>
  <si>
    <t>Colors according to DWD Standard coloring code</t>
  </si>
  <si>
    <t>Anticyclonic (A), cyclonic (C), or mixed (M)</t>
  </si>
  <si>
    <t>Data availability PAROIS DWL</t>
  </si>
  <si>
    <t>Data availability PACHEM DWL</t>
  </si>
  <si>
    <t>Data availability PAJUSS DWL</t>
  </si>
  <si>
    <t>Data availability PALUPD DWL</t>
  </si>
  <si>
    <t>Data availability PAARBO DWL</t>
  </si>
  <si>
    <t>Data availability PASIRT DWL</t>
  </si>
  <si>
    <t>The synoptic classification for Europe "Grosswetterlagen" is provided by DWD as part of open data (https://www.dwd.de/DE/leistungen/grosswetterlage/2023/grosswetterlage.html)</t>
  </si>
  <si>
    <t>Harmonised boundary layer wind profile dataset from six ground-based doppler wind lidars in a transect across Paris (France) from 2022-06-10 to 2024-03-05</t>
  </si>
  <si>
    <t xml:space="preserve">This document is part of </t>
  </si>
  <si>
    <t>The use of the work is at the user's own risk. The authors, the involved institutions, and/or the European Commission accept no liability for material or non-material damage arising from the use or non-use or from the use of incorrect or incomplete information in this work. The authors, the involved institutions, and/or the European Research Commission are not responsible for any use that may be made of the information in this work. The legal provisions remain unaffected.</t>
  </si>
  <si>
    <t>Broken</t>
  </si>
  <si>
    <t>Few</t>
  </si>
  <si>
    <t>Clear</t>
  </si>
  <si>
    <t>Overcast</t>
  </si>
  <si>
    <t>Data from Eiffel Tower and Montsouris are provided by MeteoFrance. Data has been further aggregated.</t>
  </si>
  <si>
    <t>Solar radiation is a subject classification based on global hemispherical radiation data from BSRN Site PAL, and urbisphere sites PACHEM, PADENF, PACOUR, PACHAN, PANANG, PACOUR, PAAUNA, PAPRUN, PAWYDT, PASTFE</t>
  </si>
  <si>
    <r>
      <t xml:space="preserve">Number of DWLs </t>
    </r>
    <r>
      <rPr>
        <sz val="12"/>
        <color theme="1"/>
        <rFont val="Calibri"/>
        <family val="2"/>
        <scheme val="major"/>
      </rPr>
      <t>operational (max = 6)</t>
    </r>
  </si>
  <si>
    <r>
      <t>Mean wind direction</t>
    </r>
    <r>
      <rPr>
        <sz val="12"/>
        <color theme="1"/>
        <rFont val="Calibri"/>
        <family val="2"/>
        <scheme val="major"/>
      </rPr>
      <t xml:space="preserve"> (300 m) from all running DWLs</t>
    </r>
  </si>
  <si>
    <r>
      <rPr>
        <sz val="12"/>
        <color theme="1"/>
        <rFont val="Calibri"/>
        <family val="2"/>
        <scheme val="major"/>
      </rPr>
      <t>Mean</t>
    </r>
    <r>
      <rPr>
        <b/>
        <sz val="12"/>
        <color theme="1"/>
        <rFont val="Calibri"/>
        <family val="2"/>
        <scheme val="major"/>
      </rPr>
      <t xml:space="preserve"> wind direction category</t>
    </r>
    <r>
      <rPr>
        <sz val="12"/>
        <color theme="1"/>
        <rFont val="Calibri"/>
        <family val="2"/>
        <scheme val="major"/>
      </rPr>
      <t xml:space="preserve"> (300 m) from DWLs</t>
    </r>
  </si>
  <si>
    <r>
      <rPr>
        <sz val="12"/>
        <color theme="1"/>
        <rFont val="Calibri"/>
        <family val="2"/>
        <scheme val="major"/>
      </rPr>
      <t>Mean</t>
    </r>
    <r>
      <rPr>
        <b/>
        <sz val="12"/>
        <color theme="1"/>
        <rFont val="Calibri"/>
        <family val="2"/>
        <scheme val="major"/>
      </rPr>
      <t xml:space="preserve"> vector wind speed (300m)</t>
    </r>
    <r>
      <rPr>
        <sz val="12"/>
        <color theme="1"/>
        <rFont val="Calibri"/>
        <family val="2"/>
        <scheme val="major"/>
      </rPr>
      <t xml:space="preserve"> from all running DWLs</t>
    </r>
  </si>
  <si>
    <r>
      <t xml:space="preserve">Solar radiation </t>
    </r>
    <r>
      <rPr>
        <sz val="12"/>
        <color rgb="FF000000"/>
        <rFont val="Calibri"/>
        <family val="2"/>
        <scheme val="major"/>
      </rPr>
      <t>(clear, few, broken, overcast - in Paris area based on daytime conditions)</t>
    </r>
  </si>
  <si>
    <r>
      <t xml:space="preserve">Precipitation (mm day-1) </t>
    </r>
    <r>
      <rPr>
        <sz val="12"/>
        <color theme="1"/>
        <rFont val="Calibri"/>
        <family val="2"/>
        <scheme val="major"/>
      </rPr>
      <t>MF Montsouris Weather Station</t>
    </r>
  </si>
  <si>
    <r>
      <rPr>
        <sz val="12"/>
        <color theme="1"/>
        <rFont val="Calibri"/>
        <family val="2"/>
        <scheme val="major"/>
      </rPr>
      <t>mean</t>
    </r>
    <r>
      <rPr>
        <b/>
        <sz val="12"/>
        <color theme="1"/>
        <rFont val="Calibri"/>
        <family val="2"/>
        <scheme val="major"/>
      </rPr>
      <t xml:space="preserve"> wind direction</t>
    </r>
    <r>
      <rPr>
        <sz val="12"/>
        <color theme="1"/>
        <rFont val="Calibri"/>
        <family val="2"/>
        <scheme val="major"/>
      </rPr>
      <t xml:space="preserve"> (°)
from Eiffel tower at 330 m agl</t>
    </r>
  </si>
  <si>
    <r>
      <rPr>
        <sz val="12"/>
        <color theme="1"/>
        <rFont val="Calibri"/>
        <family val="2"/>
        <scheme val="major"/>
      </rPr>
      <t xml:space="preserve">Mean </t>
    </r>
    <r>
      <rPr>
        <b/>
        <sz val="12"/>
        <color theme="1"/>
        <rFont val="Calibri"/>
        <family val="2"/>
        <scheme val="major"/>
      </rPr>
      <t xml:space="preserve">wind direction 
category </t>
    </r>
    <r>
      <rPr>
        <sz val="12"/>
        <color theme="1"/>
        <rFont val="Calibri"/>
        <family val="2"/>
        <scheme val="major"/>
      </rPr>
      <t>from Eiffel tower 
at 330 m agl</t>
    </r>
  </si>
  <si>
    <r>
      <t>Fraction of N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</si>
  <si>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NE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</si>
  <si>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E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</si>
  <si>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SE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</si>
  <si>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S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</si>
  <si>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SW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</si>
  <si>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W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</si>
  <si>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>Fraction of NW wind</t>
    </r>
    <r>
      <rPr>
        <sz val="12"/>
        <color theme="1"/>
        <rFont val="Calibri"/>
        <family val="2"/>
        <scheme val="major"/>
      </rPr>
      <t xml:space="preserve"> 
from Eiffel tower at 330 m agl </t>
    </r>
  </si>
  <si>
    <r>
      <t xml:space="preserve">Mean scalar wind speed
</t>
    </r>
    <r>
      <rPr>
        <sz val="12"/>
        <color theme="1"/>
        <rFont val="Calibri"/>
        <family val="2"/>
        <scheme val="major"/>
      </rPr>
      <t xml:space="preserve">(m s^-1) from Eiffel tower
at 330 m agl </t>
    </r>
  </si>
  <si>
    <r>
      <t xml:space="preserve">Mean vector wind speed
</t>
    </r>
    <r>
      <rPr>
        <sz val="12"/>
        <color theme="1"/>
        <rFont val="Calibri"/>
        <family val="2"/>
        <scheme val="major"/>
      </rPr>
      <t xml:space="preserve">(m s^-1) from Eiffel tower
at 330 m agl </t>
    </r>
  </si>
  <si>
    <r>
      <t xml:space="preserve">Maximum wind speed
</t>
    </r>
    <r>
      <rPr>
        <sz val="12"/>
        <color theme="1"/>
        <rFont val="Calibri"/>
        <family val="2"/>
        <scheme val="major"/>
      </rPr>
      <t xml:space="preserve">(m s^-1) from Eiffel tower
at 330 m agl </t>
    </r>
  </si>
  <si>
    <r>
      <rPr>
        <b/>
        <sz val="12"/>
        <color theme="1"/>
        <rFont val="Calibri"/>
        <family val="2"/>
        <scheme val="major"/>
      </rPr>
      <t>ID</t>
    </r>
    <r>
      <rPr>
        <sz val="12"/>
        <color theme="1"/>
        <rFont val="Calibri"/>
        <family val="2"/>
        <scheme val="major"/>
      </rPr>
      <t xml:space="preserve"> of "Grosswetterlage" (Hess and Brezowsky)</t>
    </r>
  </si>
  <si>
    <r>
      <rPr>
        <b/>
        <sz val="12"/>
        <color theme="1"/>
        <rFont val="Calibri"/>
        <family val="2"/>
        <scheme val="major"/>
      </rPr>
      <t>Synotic conditions</t>
    </r>
    <r>
      <rPr>
        <sz val="12"/>
        <color theme="1"/>
        <rFont val="Calibri"/>
        <family val="2"/>
        <scheme val="major"/>
      </rPr>
      <t xml:space="preserve"> Meridional (m), zonal (z) or mixed </t>
    </r>
  </si>
  <si>
    <r>
      <rPr>
        <b/>
        <sz val="12"/>
        <color theme="1"/>
        <rFont val="Calibri"/>
        <family val="2"/>
        <scheme val="major"/>
      </rPr>
      <t>Description</t>
    </r>
    <r>
      <rPr>
        <sz val="12"/>
        <color theme="1"/>
        <rFont val="Calibri"/>
        <family val="2"/>
        <scheme val="major"/>
      </rPr>
      <t xml:space="preserve"> of "Grosswetterlage" (Hess and Brezowsky)</t>
    </r>
  </si>
  <si>
    <r>
      <t xml:space="preserve">Mean air temperature (°C) </t>
    </r>
    <r>
      <rPr>
        <sz val="12"/>
        <color theme="1"/>
        <rFont val="Calibri"/>
        <family val="2"/>
        <scheme val="major"/>
      </rPr>
      <t>at Paris Montsouris</t>
    </r>
  </si>
  <si>
    <r>
      <t xml:space="preserve">Min air temperature (°C) </t>
    </r>
    <r>
      <rPr>
        <sz val="12"/>
        <color theme="1"/>
        <rFont val="Calibri"/>
        <family val="2"/>
        <scheme val="major"/>
      </rPr>
      <t xml:space="preserve">at Paris Montsouris </t>
    </r>
  </si>
  <si>
    <r>
      <t xml:space="preserve">Max air temperature (°C) </t>
    </r>
    <r>
      <rPr>
        <sz val="12"/>
        <color theme="1"/>
        <rFont val="Calibri"/>
        <family val="2"/>
        <scheme val="major"/>
      </rPr>
      <t xml:space="preserve">at Paris Montsouris </t>
    </r>
  </si>
  <si>
    <t>IOP and Radiosoundings</t>
  </si>
  <si>
    <t>NA</t>
  </si>
  <si>
    <r>
      <t>sunrise</t>
    </r>
    <r>
      <rPr>
        <sz val="12"/>
        <color theme="1"/>
        <rFont val="Calibri"/>
        <family val="2"/>
        <scheme val="major"/>
      </rPr>
      <t xml:space="preserve"> (UTC)</t>
    </r>
  </si>
  <si>
    <r>
      <t>solar noon</t>
    </r>
    <r>
      <rPr>
        <sz val="12"/>
        <color theme="1"/>
        <rFont val="Calibri"/>
        <family val="2"/>
        <scheme val="major"/>
      </rPr>
      <t xml:space="preserve"> (UTC)</t>
    </r>
  </si>
  <si>
    <r>
      <t>sunset</t>
    </r>
    <r>
      <rPr>
        <sz val="12"/>
        <color theme="1"/>
        <rFont val="Calibri"/>
        <family val="2"/>
        <scheme val="major"/>
      </rPr>
      <t xml:space="preserve"> (UTC)</t>
    </r>
  </si>
  <si>
    <t>The doppler wind lidar (DWL) dataset can be found at https://doi.org/10.5281/zenodo.15090857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</si>
</sst>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</font>
    <font>
      <sz val="10"/>
      <color rgb="FF000000"/>
      <name val="Helvetica Neue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01FF00"/>
        <bgColor rgb="FF01FF00"/>
      </patternFill>
    </fill>
    <fill>
      <patternFill patternType="solid">
        <fgColor rgb="FFFEF2CB"/>
        <bgColor rgb="FFFEF2CB"/>
      </patternFill>
    </fill>
    <fill>
      <patternFill patternType="solid">
        <fgColor rgb="FFFF9900"/>
        <bgColor rgb="FFFF99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textRotation="45" wrapText="1"/>
    </xf>
    <xf numFmtId="0" fontId="4" fillId="2" borderId="1" xfId="0" applyFont="1" applyFill="1" applyBorder="1" applyAlignment="1">
      <alignment textRotation="45" wrapText="1"/>
    </xf>
    <xf numFmtId="0" fontId="4" fillId="0" borderId="0" xfId="0" applyFont="1" applyAlignment="1">
      <alignment textRotation="45" wrapText="1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6" fillId="0" borderId="0" xfId="0" applyFont="1"/>
    <xf numFmtId="0" fontId="4" fillId="0" borderId="2" xfId="0" applyFont="1" applyBorder="1"/>
    <xf numFmtId="0" fontId="5" fillId="0" borderId="0" xfId="0" applyFont="1"/>
    <xf numFmtId="0" fontId="3" fillId="0" borderId="0" xfId="0" applyFont="1"/>
    <xf numFmtId="0" fontId="7" fillId="0" borderId="0" xfId="0" applyFont="1"/>
    <xf numFmtId="0" fontId="2" fillId="0" borderId="0" xfId="0" applyFont="1"/>
    <xf numFmtId="0" fontId="9" fillId="0" borderId="3" xfId="0" applyFont="1" applyBorder="1"/>
    <xf numFmtId="9" fontId="9" fillId="0" borderId="3" xfId="0" applyNumberFormat="1" applyFont="1" applyBorder="1"/>
    <xf numFmtId="1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9" fillId="0" borderId="3" xfId="0" applyFont="1" applyBorder="1" applyAlignment="1">
      <alignment horizontal="center"/>
    </xf>
    <xf numFmtId="164" fontId="9" fillId="0" borderId="3" xfId="0" applyNumberFormat="1" applyFont="1" applyBorder="1" applyAlignment="1">
      <alignment horizontal="right"/>
    </xf>
    <xf numFmtId="1" fontId="10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9" fillId="3" borderId="3" xfId="0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left" textRotation="90" wrapText="1"/>
    </xf>
    <xf numFmtId="0" fontId="8" fillId="2" borderId="5" xfId="0" applyFont="1" applyFill="1" applyBorder="1" applyAlignment="1">
      <alignment horizontal="left" textRotation="90" wrapText="1"/>
    </xf>
    <xf numFmtId="0" fontId="9" fillId="2" borderId="5" xfId="0" applyFont="1" applyFill="1" applyBorder="1" applyAlignment="1">
      <alignment horizontal="left" textRotation="90" wrapText="1"/>
    </xf>
    <xf numFmtId="165" fontId="9" fillId="0" borderId="6" xfId="0" applyNumberFormat="1" applyFont="1" applyBorder="1"/>
    <xf numFmtId="0" fontId="9" fillId="2" borderId="1" xfId="0" applyFont="1" applyFill="1" applyBorder="1" applyAlignment="1">
      <alignment horizontal="left" textRotation="90" wrapText="1"/>
    </xf>
    <xf numFmtId="21" fontId="11" fillId="0" borderId="3" xfId="0" applyNumberFormat="1" applyFont="1" applyBorder="1"/>
    <xf numFmtId="21" fontId="11" fillId="0" borderId="7" xfId="0" applyNumberFormat="1" applyFont="1" applyBorder="1"/>
    <xf numFmtId="0" fontId="9" fillId="4" borderId="3" xfId="0" applyFont="1" applyFill="1" applyBorder="1" applyAlignment="1">
      <alignment horizontal="center"/>
    </xf>
    <xf numFmtId="0" fontId="9" fillId="5" borderId="3" xfId="0" applyFont="1" applyFill="1" applyBorder="1"/>
    <xf numFmtId="0" fontId="0" fillId="0" borderId="3" xfId="0" applyBorder="1"/>
    <xf numFmtId="0" fontId="0" fillId="0" borderId="7" xfId="0" applyBorder="1"/>
    <xf numFmtId="0" fontId="1" fillId="0" borderId="0" xfId="0" applyFont="1"/>
  </cellXfs>
  <cellStyles count="1">
    <cellStyle name="Normal" xfId="0" builtinId="0"/>
  </cellStyles>
  <dxfs count="234">
    <dxf>
      <fill>
        <patternFill patternType="solid">
          <fgColor rgb="FFFFCC01"/>
          <bgColor rgb="FFFFCC01"/>
        </patternFill>
      </fill>
    </dxf>
    <dxf>
      <fill>
        <patternFill patternType="solid">
          <fgColor rgb="FFFFCC99"/>
          <bgColor rgb="FFFFCC99"/>
        </patternFill>
      </fill>
    </dxf>
    <dxf>
      <font>
        <color theme="0"/>
      </font>
      <fill>
        <patternFill patternType="solid">
          <fgColor rgb="FFFF0100"/>
          <bgColor rgb="FFFF0100"/>
        </patternFill>
      </fill>
    </dxf>
    <dxf>
      <font>
        <color theme="0"/>
      </font>
      <fill>
        <patternFill patternType="solid">
          <fgColor rgb="FF993300"/>
          <bgColor rgb="FF993300"/>
        </patternFill>
      </fill>
    </dxf>
    <dxf>
      <font>
        <color theme="0"/>
      </font>
      <fill>
        <patternFill patternType="solid">
          <fgColor rgb="FF800000"/>
          <bgColor rgb="FF800000"/>
        </patternFill>
      </fill>
    </dxf>
    <dxf>
      <font>
        <color theme="0"/>
      </font>
      <fill>
        <patternFill patternType="solid">
          <fgColor rgb="FF969696"/>
          <bgColor rgb="FF96969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CC"/>
          <bgColor rgb="FFFF99CC"/>
        </patternFill>
      </fill>
    </dxf>
    <dxf>
      <font>
        <color theme="0"/>
      </font>
      <fill>
        <patternFill patternType="solid">
          <fgColor rgb="FF993365"/>
          <bgColor rgb="FF993365"/>
        </patternFill>
      </fill>
    </dxf>
    <dxf>
      <fill>
        <patternFill patternType="solid">
          <fgColor rgb="FFCC99FF"/>
          <bgColor rgb="FFCC99FF"/>
        </patternFill>
      </fill>
    </dxf>
    <dxf>
      <font>
        <color theme="0"/>
      </font>
      <fill>
        <patternFill patternType="solid">
          <fgColor rgb="FF333333"/>
          <bgColor rgb="FF333333"/>
        </patternFill>
      </fill>
    </dxf>
    <dxf>
      <fill>
        <patternFill patternType="solid">
          <fgColor rgb="FFCCFFFF"/>
          <bgColor rgb="FFCCFFFF"/>
        </patternFill>
      </fill>
    </dxf>
    <dxf>
      <font>
        <color theme="0"/>
      </font>
      <fill>
        <patternFill patternType="solid">
          <fgColor rgb="FF0500FF"/>
          <bgColor rgb="FF0500FF"/>
        </patternFill>
      </fill>
    </dxf>
    <dxf>
      <fill>
        <patternFill patternType="solid">
          <fgColor rgb="FF99CCFF"/>
          <bgColor rgb="FF99CCFF"/>
        </patternFill>
      </fill>
    </dxf>
    <dxf>
      <font>
        <color theme="0"/>
      </font>
      <fill>
        <patternFill patternType="solid">
          <fgColor rgb="FF808080"/>
          <bgColor rgb="FF80808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2F2F2"/>
          <bgColor rgb="FFF2F2F2"/>
        </patternFill>
      </fill>
    </dxf>
    <dxf>
      <font>
        <color theme="0"/>
      </font>
      <fill>
        <patternFill patternType="solid">
          <fgColor rgb="FF008001"/>
          <bgColor rgb="FF008001"/>
        </patternFill>
      </fill>
    </dxf>
    <dxf>
      <fill>
        <patternFill patternType="solid">
          <fgColor rgb="FF339A66"/>
          <bgColor rgb="FF339A66"/>
        </patternFill>
      </fill>
    </dxf>
    <dxf>
      <fill>
        <patternFill patternType="solid">
          <fgColor rgb="FF00CCFF"/>
          <bgColor rgb="FF00CCFF"/>
        </patternFill>
      </fill>
    </dxf>
    <dxf>
      <font>
        <color theme="0"/>
      </font>
      <fill>
        <patternFill patternType="solid">
          <fgColor rgb="FF666699"/>
          <bgColor rgb="FF666699"/>
        </patternFill>
      </fill>
    </dxf>
    <dxf>
      <fill>
        <patternFill patternType="solid">
          <fgColor rgb="FF01FF00"/>
          <bgColor rgb="FF01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6600"/>
          <bgColor rgb="FFFF6600"/>
        </patternFill>
      </fill>
    </dxf>
    <dxf>
      <font>
        <color theme="0"/>
      </font>
      <fill>
        <patternFill patternType="solid">
          <fgColor rgb="FF008080"/>
          <bgColor rgb="FF008080"/>
        </patternFill>
      </fill>
    </dxf>
    <dxf>
      <fill>
        <patternFill patternType="solid">
          <fgColor rgb="FF00FFFF"/>
          <bgColor rgb="FF00FFFF"/>
        </patternFill>
      </fill>
    </dxf>
    <dxf>
      <font>
        <color theme="0"/>
      </font>
      <fill>
        <patternFill patternType="solid">
          <fgColor rgb="FF808000"/>
          <bgColor rgb="FF808000"/>
        </patternFill>
      </fill>
    </dxf>
    <dxf>
      <fill>
        <patternFill patternType="solid">
          <fgColor rgb="FFFFFF9A"/>
          <bgColor rgb="FFFFFF9A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C01"/>
          <bgColor rgb="FFFFCC01"/>
        </patternFill>
      </fill>
    </dxf>
    <dxf>
      <fill>
        <patternFill patternType="solid">
          <fgColor rgb="FFFFCC99"/>
          <bgColor rgb="FFFFCC99"/>
        </patternFill>
      </fill>
    </dxf>
    <dxf>
      <font>
        <color theme="0"/>
      </font>
      <fill>
        <patternFill patternType="solid">
          <fgColor rgb="FFFF0100"/>
          <bgColor rgb="FFFF0100"/>
        </patternFill>
      </fill>
    </dxf>
    <dxf>
      <font>
        <color theme="0"/>
      </font>
      <fill>
        <patternFill patternType="solid">
          <fgColor rgb="FF993300"/>
          <bgColor rgb="FF993300"/>
        </patternFill>
      </fill>
    </dxf>
    <dxf>
      <font>
        <color theme="0"/>
      </font>
      <fill>
        <patternFill patternType="solid">
          <fgColor rgb="FF800000"/>
          <bgColor rgb="FF800000"/>
        </patternFill>
      </fill>
    </dxf>
    <dxf>
      <font>
        <color theme="0"/>
      </font>
      <fill>
        <patternFill patternType="solid">
          <fgColor rgb="FF969696"/>
          <bgColor rgb="FF96969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CC"/>
          <bgColor rgb="FFFF99CC"/>
        </patternFill>
      </fill>
    </dxf>
    <dxf>
      <font>
        <color theme="0"/>
      </font>
      <fill>
        <patternFill patternType="solid">
          <fgColor rgb="FF993365"/>
          <bgColor rgb="FF993365"/>
        </patternFill>
      </fill>
    </dxf>
    <dxf>
      <fill>
        <patternFill patternType="solid">
          <fgColor rgb="FFCC99FF"/>
          <bgColor rgb="FFCC99FF"/>
        </patternFill>
      </fill>
    </dxf>
    <dxf>
      <font>
        <color theme="0"/>
      </font>
      <fill>
        <patternFill patternType="solid">
          <fgColor rgb="FF333333"/>
          <bgColor rgb="FF333333"/>
        </patternFill>
      </fill>
    </dxf>
    <dxf>
      <fill>
        <patternFill patternType="solid">
          <fgColor rgb="FFCCFFFF"/>
          <bgColor rgb="FFCCFFFF"/>
        </patternFill>
      </fill>
    </dxf>
    <dxf>
      <font>
        <color theme="0"/>
      </font>
      <fill>
        <patternFill patternType="solid">
          <fgColor rgb="FF0500FF"/>
          <bgColor rgb="FF0500FF"/>
        </patternFill>
      </fill>
    </dxf>
    <dxf>
      <fill>
        <patternFill patternType="solid">
          <fgColor rgb="FF99CCFF"/>
          <bgColor rgb="FF99CCFF"/>
        </patternFill>
      </fill>
    </dxf>
    <dxf>
      <font>
        <color theme="0"/>
      </font>
      <fill>
        <patternFill patternType="solid">
          <fgColor rgb="FF808080"/>
          <bgColor rgb="FF80808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2F2F2"/>
          <bgColor rgb="FFF2F2F2"/>
        </patternFill>
      </fill>
    </dxf>
    <dxf>
      <font>
        <color theme="0"/>
      </font>
      <fill>
        <patternFill patternType="solid">
          <fgColor rgb="FF008001"/>
          <bgColor rgb="FF008001"/>
        </patternFill>
      </fill>
    </dxf>
    <dxf>
      <fill>
        <patternFill patternType="solid">
          <fgColor rgb="FF339A66"/>
          <bgColor rgb="FF339A66"/>
        </patternFill>
      </fill>
    </dxf>
    <dxf>
      <fill>
        <patternFill patternType="solid">
          <fgColor rgb="FF00CCFF"/>
          <bgColor rgb="FF00CCFF"/>
        </patternFill>
      </fill>
    </dxf>
    <dxf>
      <font>
        <color theme="0"/>
      </font>
      <fill>
        <patternFill patternType="solid">
          <fgColor rgb="FF666699"/>
          <bgColor rgb="FF666699"/>
        </patternFill>
      </fill>
    </dxf>
    <dxf>
      <fill>
        <patternFill patternType="solid">
          <fgColor rgb="FF01FF00"/>
          <bgColor rgb="FF01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6600"/>
          <bgColor rgb="FFFF6600"/>
        </patternFill>
      </fill>
    </dxf>
    <dxf>
      <font>
        <color theme="0"/>
      </font>
      <fill>
        <patternFill patternType="solid">
          <fgColor rgb="FF008080"/>
          <bgColor rgb="FF008080"/>
        </patternFill>
      </fill>
    </dxf>
    <dxf>
      <fill>
        <patternFill patternType="solid">
          <fgColor rgb="FF00FFFF"/>
          <bgColor rgb="FF00FFFF"/>
        </patternFill>
      </fill>
    </dxf>
    <dxf>
      <font>
        <color theme="0"/>
      </font>
      <fill>
        <patternFill patternType="solid">
          <fgColor rgb="FF808000"/>
          <bgColor rgb="FF808000"/>
        </patternFill>
      </fill>
    </dxf>
    <dxf>
      <fill>
        <patternFill patternType="solid">
          <fgColor rgb="FFFFFF9A"/>
          <bgColor rgb="FFFFFF9A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3"/>
      </font>
      <fill>
        <patternFill>
          <bgColor theme="7" tint="0.59996337778862885"/>
        </patternFill>
      </fill>
    </dxf>
    <dxf>
      <font>
        <color theme="3"/>
      </font>
      <fill>
        <patternFill>
          <bgColor theme="7" tint="0.79998168889431442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theme="9"/>
          <bgColor theme="9"/>
        </patternFill>
      </fill>
    </dxf>
    <dxf>
      <font>
        <color theme="1"/>
      </font>
      <fill>
        <patternFill patternType="solid">
          <fgColor rgb="FFFFD965"/>
          <bgColor theme="9" tint="0.7999816888943144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C01"/>
          <bgColor rgb="FFFFCC01"/>
        </patternFill>
      </fill>
    </dxf>
    <dxf>
      <font>
        <color theme="0"/>
      </font>
      <fill>
        <patternFill patternType="solid">
          <fgColor rgb="FFFF0100"/>
          <bgColor rgb="FFFF0100"/>
        </patternFill>
      </fill>
    </dxf>
    <dxf>
      <font>
        <color theme="0"/>
      </font>
      <fill>
        <patternFill patternType="solid">
          <fgColor rgb="FF993300"/>
          <bgColor rgb="FF993300"/>
        </patternFill>
      </fill>
    </dxf>
    <dxf>
      <font>
        <color theme="0"/>
      </font>
      <fill>
        <patternFill patternType="solid">
          <fgColor rgb="FF800000"/>
          <bgColor rgb="FF800000"/>
        </patternFill>
      </fill>
    </dxf>
    <dxf>
      <font>
        <color theme="0"/>
      </font>
      <fill>
        <patternFill patternType="solid">
          <fgColor rgb="FF969696"/>
          <bgColor rgb="FF96969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CC"/>
          <bgColor rgb="FFFF99CC"/>
        </patternFill>
      </fill>
    </dxf>
    <dxf>
      <font>
        <color theme="0"/>
      </font>
      <fill>
        <patternFill patternType="solid">
          <fgColor rgb="FF993365"/>
          <bgColor rgb="FF993365"/>
        </patternFill>
      </fill>
    </dxf>
    <dxf>
      <fill>
        <patternFill patternType="solid">
          <fgColor rgb="FFCC99FF"/>
          <bgColor rgb="FFCC99FF"/>
        </patternFill>
      </fill>
    </dxf>
    <dxf>
      <font>
        <color theme="0"/>
      </font>
      <fill>
        <patternFill patternType="solid">
          <fgColor rgb="FF333333"/>
          <bgColor rgb="FF333333"/>
        </patternFill>
      </fill>
    </dxf>
    <dxf>
      <fill>
        <patternFill patternType="solid">
          <fgColor rgb="FFCCFFFF"/>
          <bgColor rgb="FFCCFFFF"/>
        </patternFill>
      </fill>
    </dxf>
    <dxf>
      <font>
        <color theme="0"/>
      </font>
      <fill>
        <patternFill patternType="solid">
          <fgColor rgb="FF0500FF"/>
          <bgColor rgb="FF0500FF"/>
        </patternFill>
      </fill>
    </dxf>
    <dxf>
      <fill>
        <patternFill patternType="solid">
          <fgColor rgb="FF99CCFF"/>
          <bgColor rgb="FF99CCFF"/>
        </patternFill>
      </fill>
    </dxf>
    <dxf>
      <font>
        <color theme="0"/>
      </font>
      <fill>
        <patternFill patternType="solid">
          <fgColor rgb="FF808080"/>
          <bgColor rgb="FF80808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2F2F2"/>
          <bgColor rgb="FFF2F2F2"/>
        </patternFill>
      </fill>
    </dxf>
    <dxf>
      <font>
        <color theme="0"/>
      </font>
      <fill>
        <patternFill patternType="solid">
          <fgColor rgb="FF008001"/>
          <bgColor rgb="FF008001"/>
        </patternFill>
      </fill>
    </dxf>
    <dxf>
      <fill>
        <patternFill patternType="solid">
          <fgColor rgb="FF339A66"/>
          <bgColor rgb="FF339A66"/>
        </patternFill>
      </fill>
    </dxf>
    <dxf>
      <fill>
        <patternFill patternType="solid">
          <fgColor rgb="FF00CCFF"/>
          <bgColor rgb="FF00CCFF"/>
        </patternFill>
      </fill>
    </dxf>
    <dxf>
      <font>
        <color theme="0"/>
      </font>
      <fill>
        <patternFill patternType="solid">
          <fgColor rgb="FF666699"/>
          <bgColor rgb="FF666699"/>
        </patternFill>
      </fill>
    </dxf>
    <dxf>
      <fill>
        <patternFill patternType="solid">
          <fgColor rgb="FF01FF00"/>
          <bgColor rgb="FF01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6600"/>
          <bgColor rgb="FFFF6600"/>
        </patternFill>
      </fill>
    </dxf>
    <dxf>
      <font>
        <color theme="0"/>
      </font>
      <fill>
        <patternFill patternType="solid">
          <fgColor rgb="FF008080"/>
          <bgColor rgb="FF008080"/>
        </patternFill>
      </fill>
    </dxf>
    <dxf>
      <fill>
        <patternFill patternType="solid">
          <fgColor rgb="FF00FFFF"/>
          <bgColor rgb="FF00FFFF"/>
        </patternFill>
      </fill>
    </dxf>
    <dxf>
      <font>
        <color theme="0"/>
      </font>
      <fill>
        <patternFill patternType="solid">
          <fgColor rgb="FF808000"/>
          <bgColor rgb="FF808000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A"/>
          <bgColor rgb="FFFFFF9A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3"/>
      </font>
      <fill>
        <patternFill>
          <bgColor theme="7" tint="0.59996337778862885"/>
        </patternFill>
      </fill>
    </dxf>
    <dxf>
      <font>
        <color theme="3"/>
      </font>
      <fill>
        <patternFill>
          <bgColor theme="7" tint="0.7999816888943144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theme="9"/>
          <bgColor theme="9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rgb="FFFFD965"/>
          <bgColor theme="9" tint="0.79998168889431442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C01"/>
          <bgColor rgb="FFFFCC01"/>
        </patternFill>
      </fill>
    </dxf>
    <dxf>
      <font>
        <color theme="0"/>
      </font>
      <fill>
        <patternFill patternType="solid">
          <fgColor rgb="FFFF0100"/>
          <bgColor rgb="FFFF0100"/>
        </patternFill>
      </fill>
    </dxf>
    <dxf>
      <font>
        <color theme="0"/>
      </font>
      <fill>
        <patternFill patternType="solid">
          <fgColor rgb="FF993300"/>
          <bgColor rgb="FF993300"/>
        </patternFill>
      </fill>
    </dxf>
    <dxf>
      <font>
        <color theme="0"/>
      </font>
      <fill>
        <patternFill patternType="solid">
          <fgColor rgb="FF800000"/>
          <bgColor rgb="FF800000"/>
        </patternFill>
      </fill>
    </dxf>
    <dxf>
      <font>
        <color theme="0"/>
      </font>
      <fill>
        <patternFill patternType="solid">
          <fgColor rgb="FF969696"/>
          <bgColor rgb="FF96969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CC"/>
          <bgColor rgb="FFFF99CC"/>
        </patternFill>
      </fill>
    </dxf>
    <dxf>
      <font>
        <color theme="0"/>
      </font>
      <fill>
        <patternFill patternType="solid">
          <fgColor rgb="FF993365"/>
          <bgColor rgb="FF993365"/>
        </patternFill>
      </fill>
    </dxf>
    <dxf>
      <fill>
        <patternFill patternType="solid">
          <fgColor rgb="FFCC99FF"/>
          <bgColor rgb="FFCC99FF"/>
        </patternFill>
      </fill>
    </dxf>
    <dxf>
      <font>
        <color theme="0"/>
      </font>
      <fill>
        <patternFill patternType="solid">
          <fgColor rgb="FF333333"/>
          <bgColor rgb="FF333333"/>
        </patternFill>
      </fill>
    </dxf>
    <dxf>
      <fill>
        <patternFill patternType="solid">
          <fgColor rgb="FFCCFFFF"/>
          <bgColor rgb="FFCCFFFF"/>
        </patternFill>
      </fill>
    </dxf>
    <dxf>
      <font>
        <color theme="0"/>
      </font>
      <fill>
        <patternFill patternType="solid">
          <fgColor rgb="FF0500FF"/>
          <bgColor rgb="FF0500FF"/>
        </patternFill>
      </fill>
    </dxf>
    <dxf>
      <fill>
        <patternFill patternType="solid">
          <fgColor rgb="FF99CCFF"/>
          <bgColor rgb="FF99CCFF"/>
        </patternFill>
      </fill>
    </dxf>
    <dxf>
      <font>
        <color theme="0"/>
      </font>
      <fill>
        <patternFill patternType="solid">
          <fgColor rgb="FF808080"/>
          <bgColor rgb="FF80808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2F2F2"/>
          <bgColor rgb="FFF2F2F2"/>
        </patternFill>
      </fill>
    </dxf>
    <dxf>
      <font>
        <color theme="0"/>
      </font>
      <fill>
        <patternFill patternType="solid">
          <fgColor rgb="FF008001"/>
          <bgColor rgb="FF008001"/>
        </patternFill>
      </fill>
    </dxf>
    <dxf>
      <fill>
        <patternFill patternType="solid">
          <fgColor rgb="FF339A66"/>
          <bgColor rgb="FF339A66"/>
        </patternFill>
      </fill>
    </dxf>
    <dxf>
      <fill>
        <patternFill patternType="solid">
          <fgColor rgb="FF00CCFF"/>
          <bgColor rgb="FF00CCFF"/>
        </patternFill>
      </fill>
    </dxf>
    <dxf>
      <font>
        <color theme="0"/>
      </font>
      <fill>
        <patternFill patternType="solid">
          <fgColor rgb="FF666699"/>
          <bgColor rgb="FF666699"/>
        </patternFill>
      </fill>
    </dxf>
    <dxf>
      <fill>
        <patternFill patternType="solid">
          <fgColor rgb="FF01FF00"/>
          <bgColor rgb="FF01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6600"/>
          <bgColor rgb="FFFF6600"/>
        </patternFill>
      </fill>
    </dxf>
    <dxf>
      <font>
        <color theme="0"/>
      </font>
      <fill>
        <patternFill patternType="solid">
          <fgColor rgb="FF008080"/>
          <bgColor rgb="FF008080"/>
        </patternFill>
      </fill>
    </dxf>
    <dxf>
      <fill>
        <patternFill patternType="solid">
          <fgColor rgb="FF00FFFF"/>
          <bgColor rgb="FF00FFFF"/>
        </patternFill>
      </fill>
    </dxf>
    <dxf>
      <font>
        <color theme="0"/>
      </font>
      <fill>
        <patternFill patternType="solid">
          <fgColor rgb="FF808000"/>
          <bgColor rgb="FF808000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A"/>
          <bgColor rgb="FFFFFF9A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theme="0"/>
      </font>
      <fill>
        <patternFill>
          <bgColor rgb="FFDF1C3A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A0C1D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3"/>
      </font>
      <fill>
        <patternFill>
          <bgColor theme="7" tint="0.59996337778862885"/>
        </patternFill>
      </fill>
    </dxf>
    <dxf>
      <font>
        <color theme="3"/>
      </font>
      <fill>
        <patternFill>
          <bgColor theme="7" tint="0.79998168889431442"/>
        </patternFill>
      </fill>
    </dxf>
    <dxf>
      <font>
        <color theme="1"/>
      </font>
      <fill>
        <patternFill patternType="solid">
          <fgColor rgb="FFFFE1DF"/>
          <bgColor rgb="FFFFE1DF"/>
        </patternFill>
      </fill>
    </dxf>
    <dxf>
      <font>
        <color theme="1"/>
      </font>
      <fill>
        <patternFill patternType="solid">
          <fgColor rgb="FFFFFFC2"/>
          <bgColor rgb="FFFFFFC2"/>
        </patternFill>
      </fill>
    </dxf>
    <dxf>
      <font>
        <color theme="1"/>
      </font>
      <fill>
        <patternFill patternType="solid">
          <fgColor rgb="FFD2FFE7"/>
          <bgColor rgb="FFD2FFE7"/>
        </patternFill>
      </fill>
    </dxf>
    <dxf>
      <font>
        <color theme="1"/>
      </font>
      <fill>
        <patternFill patternType="solid">
          <fgColor rgb="FFB1D7F3"/>
          <bgColor rgb="FFB1D7F3"/>
        </patternFill>
      </fill>
    </dxf>
    <dxf>
      <font>
        <color theme="1"/>
      </font>
      <fill>
        <patternFill patternType="solid">
          <fgColor rgb="FFE4CAF8"/>
          <bgColor rgb="FFE4CAF8"/>
        </patternFill>
      </fill>
    </dxf>
    <dxf>
      <font>
        <color theme="1"/>
      </font>
      <fill>
        <patternFill patternType="solid">
          <fgColor rgb="FFBEE3F0"/>
          <bgColor rgb="FFBEE3F0"/>
        </patternFill>
      </fill>
    </dxf>
    <dxf>
      <font>
        <color theme="1"/>
      </font>
      <fill>
        <patternFill patternType="solid">
          <fgColor rgb="FFE0E8BA"/>
          <bgColor rgb="FFE0E8BA"/>
        </patternFill>
      </fill>
    </dxf>
    <dxf>
      <font>
        <color theme="1"/>
      </font>
      <fill>
        <patternFill patternType="solid">
          <fgColor rgb="FFFFEEB8"/>
          <bgColor rgb="FFFFEEB8"/>
        </patternFill>
      </fill>
    </dxf>
    <dxf>
      <font>
        <color theme="1"/>
      </font>
      <fill>
        <patternFill patternType="solid">
          <fgColor theme="9"/>
          <bgColor theme="9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rgb="FFFFD965"/>
          <bgColor theme="9" tint="0.79998168889431442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A0C1D9"/>
      <color rgb="FFDF1C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96"/>
  <sheetViews>
    <sheetView tabSelected="1" workbookViewId="0">
      <pane ySplit="1" topLeftCell="A2" activePane="bottomLeft" state="frozen"/>
      <selection pane="bottomLeft" activeCell="E450" sqref="E450"/>
    </sheetView>
  </sheetViews>
  <sheetFormatPr baseColWidth="10" defaultColWidth="11.1640625" defaultRowHeight="15" customHeight="1" x14ac:dyDescent="0.2"/>
  <cols>
    <col min="1" max="1" width="11.1640625" customWidth="1"/>
    <col min="2" max="2" width="5.33203125" customWidth="1"/>
    <col min="3" max="3" width="4.6640625" customWidth="1"/>
    <col min="4" max="4" width="3.6640625" customWidth="1"/>
    <col min="5" max="5" width="15" customWidth="1"/>
    <col min="6" max="6" width="6" customWidth="1"/>
    <col min="7" max="7" width="5.33203125" customWidth="1"/>
    <col min="8" max="10" width="5.83203125" customWidth="1"/>
    <col min="11" max="11" width="5.5" customWidth="1"/>
    <col min="12" max="12" width="5.83203125" customWidth="1"/>
    <col min="13" max="13" width="6.1640625" customWidth="1"/>
    <col min="14" max="14" width="6.6640625" customWidth="1"/>
    <col min="15" max="15" width="6.5" customWidth="1"/>
    <col min="16" max="17" width="9.33203125" customWidth="1"/>
    <col min="18" max="18" width="6.33203125" customWidth="1"/>
    <col min="19" max="19" width="6.1640625" customWidth="1"/>
    <col min="20" max="20" width="6.33203125" customWidth="1"/>
    <col min="21" max="21" width="6.1640625" customWidth="1"/>
    <col min="22" max="22" width="8.6640625" customWidth="1"/>
    <col min="23" max="23" width="6.33203125" customWidth="1"/>
    <col min="24" max="24" width="6" customWidth="1"/>
    <col min="25" max="25" width="5.83203125" customWidth="1"/>
    <col min="26" max="29" width="6" customWidth="1"/>
    <col min="30" max="30" width="5.6640625" customWidth="1"/>
    <col min="31" max="31" width="8.5" customWidth="1"/>
    <col min="32" max="32" width="8.1640625" customWidth="1"/>
    <col min="33" max="33" width="9.5" customWidth="1"/>
    <col min="34" max="34" width="7.5" customWidth="1"/>
    <col min="35" max="35" width="10.5" customWidth="1"/>
    <col min="36" max="36" width="6.1640625" customWidth="1"/>
    <col min="37" max="37" width="41.5" customWidth="1"/>
    <col min="38" max="38" width="9" customWidth="1"/>
    <col min="39" max="40" width="9.83203125" customWidth="1"/>
  </cols>
  <sheetData>
    <row r="1" spans="1:40" ht="166" customHeight="1" x14ac:dyDescent="0.2">
      <c r="A1" s="24" t="s">
        <v>0</v>
      </c>
      <c r="B1" s="25" t="s">
        <v>1</v>
      </c>
      <c r="C1" s="25" t="s">
        <v>2</v>
      </c>
      <c r="D1" s="25" t="s">
        <v>3</v>
      </c>
      <c r="E1" s="25" t="s">
        <v>168</v>
      </c>
      <c r="F1" s="25" t="s">
        <v>143</v>
      </c>
      <c r="G1" s="26" t="s">
        <v>127</v>
      </c>
      <c r="H1" s="26" t="s">
        <v>128</v>
      </c>
      <c r="I1" s="26" t="s">
        <v>129</v>
      </c>
      <c r="J1" s="26" t="s">
        <v>130</v>
      </c>
      <c r="K1" s="26" t="s">
        <v>131</v>
      </c>
      <c r="L1" s="26" t="s">
        <v>132</v>
      </c>
      <c r="M1" s="25" t="s">
        <v>144</v>
      </c>
      <c r="N1" s="25" t="s">
        <v>145</v>
      </c>
      <c r="O1" s="25" t="s">
        <v>146</v>
      </c>
      <c r="P1" s="25" t="s">
        <v>147</v>
      </c>
      <c r="Q1" s="25" t="s">
        <v>148</v>
      </c>
      <c r="R1" s="25" t="s">
        <v>165</v>
      </c>
      <c r="S1" s="25" t="s">
        <v>166</v>
      </c>
      <c r="T1" s="25" t="s">
        <v>167</v>
      </c>
      <c r="U1" s="25" t="s">
        <v>149</v>
      </c>
      <c r="V1" s="25" t="s">
        <v>150</v>
      </c>
      <c r="W1" s="25" t="s">
        <v>151</v>
      </c>
      <c r="X1" s="25" t="s">
        <v>152</v>
      </c>
      <c r="Y1" s="25" t="s">
        <v>153</v>
      </c>
      <c r="Z1" s="25" t="s">
        <v>154</v>
      </c>
      <c r="AA1" s="25" t="s">
        <v>155</v>
      </c>
      <c r="AB1" s="25" t="s">
        <v>156</v>
      </c>
      <c r="AC1" s="25" t="s">
        <v>157</v>
      </c>
      <c r="AD1" s="25" t="s">
        <v>158</v>
      </c>
      <c r="AE1" s="25" t="s">
        <v>159</v>
      </c>
      <c r="AF1" s="25" t="s">
        <v>160</v>
      </c>
      <c r="AG1" s="25" t="s">
        <v>161</v>
      </c>
      <c r="AH1" s="26" t="s">
        <v>162</v>
      </c>
      <c r="AI1" s="26" t="s">
        <v>163</v>
      </c>
      <c r="AJ1" s="26" t="s">
        <v>126</v>
      </c>
      <c r="AK1" s="28" t="s">
        <v>164</v>
      </c>
      <c r="AL1" s="25" t="s">
        <v>170</v>
      </c>
      <c r="AM1" s="25" t="s">
        <v>171</v>
      </c>
      <c r="AN1" s="25" t="s">
        <v>172</v>
      </c>
    </row>
    <row r="2" spans="1:40" ht="15.75" customHeight="1" x14ac:dyDescent="0.2">
      <c r="A2" s="27">
        <v>44722</v>
      </c>
      <c r="B2" s="13">
        <v>2022</v>
      </c>
      <c r="C2" s="13">
        <v>165</v>
      </c>
      <c r="D2" s="13">
        <f t="shared" ref="D2:D65" si="0">WEEKDAY(A2)</f>
        <v>6</v>
      </c>
      <c r="E2" s="13"/>
      <c r="F2" s="13">
        <f t="shared" ref="F2:F181" si="1">IF(G2 &gt; 0.5,1,0)+IF(H2 &gt; 0.5,1,0)+IF(I2 &gt; 0.5,1,0)+IF(J2 &gt; 0.5,1,0)+IF(K2 &gt; 0.5,1,0)+IF(L2 &gt; 0.5,1,0)</f>
        <v>2</v>
      </c>
      <c r="G2" s="14">
        <v>0</v>
      </c>
      <c r="H2" s="14">
        <v>0</v>
      </c>
      <c r="I2" s="14">
        <v>1</v>
      </c>
      <c r="J2" s="14">
        <v>0</v>
      </c>
      <c r="K2" s="14">
        <v>0</v>
      </c>
      <c r="L2" s="14">
        <v>1</v>
      </c>
      <c r="M2" s="15">
        <v>237.59200000000001</v>
      </c>
      <c r="N2" s="16" t="str">
        <f t="shared" ref="N2:N65" si="2">IF(AND(M2 &gt; 22.5,M2&lt;=67.6),"NE",IF(AND(M2 &gt; 67.5,M2&lt;=112.5),"E",IF(AND(M2 &gt; 112.5,M2&lt;=157.5),"SE",IF(AND(M2 &gt; 157.5,M2&lt;=202.5),"S",IF(AND(M2 &gt; 202.5,M2&lt;=247.5),"SW",IF(AND(M2 &gt; 247.5,M2&lt;=292.5),"W",IF(AND(M2 &gt; 292.5,M2&lt;=337.5),"NW",IF(AND(M2 &gt; 22.5,M2&lt;=360),"N","N"))))))))</f>
        <v>SW</v>
      </c>
      <c r="O2" s="17">
        <v>4.8</v>
      </c>
      <c r="P2" s="16" t="s">
        <v>137</v>
      </c>
      <c r="Q2" s="18">
        <v>0</v>
      </c>
      <c r="R2" s="19">
        <v>19.559999999999999</v>
      </c>
      <c r="S2" s="19">
        <v>14.3</v>
      </c>
      <c r="T2" s="19">
        <v>23.6</v>
      </c>
      <c r="U2" s="20">
        <v>231.16</v>
      </c>
      <c r="V2" s="16" t="s">
        <v>5</v>
      </c>
      <c r="W2" s="21">
        <v>0</v>
      </c>
      <c r="X2" s="21">
        <v>0</v>
      </c>
      <c r="Y2" s="21">
        <v>0</v>
      </c>
      <c r="Z2" s="21">
        <v>0</v>
      </c>
      <c r="AA2" s="21">
        <v>0.12</v>
      </c>
      <c r="AB2" s="21">
        <v>0.54</v>
      </c>
      <c r="AC2" s="21">
        <v>0.33</v>
      </c>
      <c r="AD2" s="21">
        <v>0</v>
      </c>
      <c r="AE2" s="21">
        <v>3.68</v>
      </c>
      <c r="AF2" s="21">
        <v>3.35</v>
      </c>
      <c r="AG2" s="21">
        <v>7.6</v>
      </c>
      <c r="AH2" s="18" t="s">
        <v>4</v>
      </c>
      <c r="AI2" s="13" t="str">
        <f>VLOOKUP(AH2,'Hess and Brezowsky'!$B$2:$G$31,2,FALSE)</f>
        <v>Mixed</v>
      </c>
      <c r="AJ2" s="18" t="str">
        <f>VLOOKUP(AH2,'Hess and Brezowsky'!$B$2:$G$31,3,FALSE)</f>
        <v>A</v>
      </c>
      <c r="AK2" s="13" t="str">
        <f>VLOOKUP(AH2,'Hess and Brezowsky'!$B$2:$G$31,4,FALSE)</f>
        <v>Zonal Ridge across Central Europe</v>
      </c>
      <c r="AL2" s="29">
        <v>0.15886574074074075</v>
      </c>
      <c r="AM2" s="29">
        <v>0.49402777777777779</v>
      </c>
      <c r="AN2" s="30">
        <v>0.82917824074074076</v>
      </c>
    </row>
    <row r="3" spans="1:40" ht="15.75" customHeight="1" x14ac:dyDescent="0.2">
      <c r="A3" s="27">
        <v>44723</v>
      </c>
      <c r="B3" s="13">
        <v>2022</v>
      </c>
      <c r="C3" s="13">
        <v>165</v>
      </c>
      <c r="D3" s="13">
        <f t="shared" si="0"/>
        <v>7</v>
      </c>
      <c r="E3" s="13"/>
      <c r="F3" s="13">
        <f t="shared" si="1"/>
        <v>2</v>
      </c>
      <c r="G3" s="14">
        <v>0</v>
      </c>
      <c r="H3" s="14">
        <v>0</v>
      </c>
      <c r="I3" s="14">
        <v>1</v>
      </c>
      <c r="J3" s="14">
        <v>0</v>
      </c>
      <c r="K3" s="14">
        <v>0</v>
      </c>
      <c r="L3" s="14">
        <v>1</v>
      </c>
      <c r="M3" s="15">
        <v>334.00400000000002</v>
      </c>
      <c r="N3" s="16" t="str">
        <f t="shared" si="2"/>
        <v>NW</v>
      </c>
      <c r="O3" s="17">
        <v>3.9</v>
      </c>
      <c r="P3" s="16" t="s">
        <v>137</v>
      </c>
      <c r="Q3" s="18">
        <v>0</v>
      </c>
      <c r="R3" s="19">
        <v>20.87</v>
      </c>
      <c r="S3" s="19">
        <v>16</v>
      </c>
      <c r="T3" s="19">
        <v>26.3</v>
      </c>
      <c r="U3" s="20">
        <v>322.49</v>
      </c>
      <c r="V3" s="16" t="s">
        <v>6</v>
      </c>
      <c r="W3" s="21">
        <v>0.42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0.38</v>
      </c>
      <c r="AD3" s="21">
        <v>0.21</v>
      </c>
      <c r="AE3" s="21">
        <v>4</v>
      </c>
      <c r="AF3" s="21">
        <v>3.22</v>
      </c>
      <c r="AG3" s="21">
        <v>8.6999999999999993</v>
      </c>
      <c r="AH3" s="18" t="s">
        <v>4</v>
      </c>
      <c r="AI3" s="13" t="str">
        <f>VLOOKUP(AH3,'Hess and Brezowsky'!$B$2:$G$31,2,FALSE)</f>
        <v>Mixed</v>
      </c>
      <c r="AJ3" s="18" t="str">
        <f>VLOOKUP(AH3,'Hess and Brezowsky'!$B$2:$G$31,3,FALSE)</f>
        <v>A</v>
      </c>
      <c r="AK3" s="13" t="str">
        <f>VLOOKUP(AH3,'Hess and Brezowsky'!$B$2:$G$31,4,FALSE)</f>
        <v>Zonal Ridge across Central Europe</v>
      </c>
      <c r="AL3" s="29">
        <v>0.15866898148148148</v>
      </c>
      <c r="AM3" s="29">
        <v>0.4941550925925926</v>
      </c>
      <c r="AN3" s="30">
        <v>0.82964120370370376</v>
      </c>
    </row>
    <row r="4" spans="1:40" ht="15.75" customHeight="1" x14ac:dyDescent="0.2">
      <c r="A4" s="27">
        <v>44724</v>
      </c>
      <c r="B4" s="13">
        <v>2022</v>
      </c>
      <c r="C4" s="13">
        <v>165</v>
      </c>
      <c r="D4" s="13">
        <f t="shared" si="0"/>
        <v>1</v>
      </c>
      <c r="E4" s="13"/>
      <c r="F4" s="13">
        <f t="shared" si="1"/>
        <v>2</v>
      </c>
      <c r="G4" s="14">
        <v>0</v>
      </c>
      <c r="H4" s="14">
        <v>0</v>
      </c>
      <c r="I4" s="14">
        <v>1</v>
      </c>
      <c r="J4" s="14">
        <v>0</v>
      </c>
      <c r="K4" s="14">
        <v>0</v>
      </c>
      <c r="L4" s="14">
        <v>1</v>
      </c>
      <c r="M4" s="15">
        <v>343.46300000000002</v>
      </c>
      <c r="N4" s="16" t="str">
        <f t="shared" si="2"/>
        <v>N</v>
      </c>
      <c r="O4" s="17">
        <v>5.4</v>
      </c>
      <c r="P4" s="16" t="s">
        <v>137</v>
      </c>
      <c r="Q4" s="18">
        <v>0</v>
      </c>
      <c r="R4" s="19">
        <v>19.149999999999999</v>
      </c>
      <c r="S4" s="19">
        <v>14.4</v>
      </c>
      <c r="T4" s="19">
        <v>24.6</v>
      </c>
      <c r="U4" s="20">
        <v>329.32</v>
      </c>
      <c r="V4" s="16" t="s">
        <v>6</v>
      </c>
      <c r="W4" s="21">
        <v>0.38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0.62</v>
      </c>
      <c r="AE4" s="21">
        <v>5.87</v>
      </c>
      <c r="AF4" s="21">
        <v>5.6</v>
      </c>
      <c r="AG4" s="21">
        <v>9.8000000000000007</v>
      </c>
      <c r="AH4" s="18" t="s">
        <v>4</v>
      </c>
      <c r="AI4" s="13" t="str">
        <f>VLOOKUP(AH4,'Hess and Brezowsky'!$B$2:$G$31,2,FALSE)</f>
        <v>Mixed</v>
      </c>
      <c r="AJ4" s="18" t="str">
        <f>VLOOKUP(AH4,'Hess and Brezowsky'!$B$2:$G$31,3,FALSE)</f>
        <v>A</v>
      </c>
      <c r="AK4" s="13" t="str">
        <f>VLOOKUP(AH4,'Hess and Brezowsky'!$B$2:$G$31,4,FALSE)</f>
        <v>Zonal Ridge across Central Europe</v>
      </c>
      <c r="AL4" s="29">
        <v>0.15850694444444444</v>
      </c>
      <c r="AM4" s="29">
        <v>0.49429398148148146</v>
      </c>
      <c r="AN4" s="30">
        <v>0.83006944444444442</v>
      </c>
    </row>
    <row r="5" spans="1:40" ht="15.75" customHeight="1" x14ac:dyDescent="0.2">
      <c r="A5" s="27">
        <v>44725</v>
      </c>
      <c r="B5" s="13">
        <v>2022</v>
      </c>
      <c r="C5" s="13">
        <v>165</v>
      </c>
      <c r="D5" s="13">
        <f t="shared" si="0"/>
        <v>2</v>
      </c>
      <c r="E5" s="13"/>
      <c r="F5" s="13">
        <f t="shared" si="1"/>
        <v>2</v>
      </c>
      <c r="G5" s="14">
        <v>0</v>
      </c>
      <c r="H5" s="14">
        <v>0</v>
      </c>
      <c r="I5" s="14">
        <v>0.95</v>
      </c>
      <c r="J5" s="14">
        <v>0</v>
      </c>
      <c r="K5" s="14">
        <v>0</v>
      </c>
      <c r="L5" s="14">
        <v>1</v>
      </c>
      <c r="M5" s="15">
        <v>10.013999999999999</v>
      </c>
      <c r="N5" s="16" t="str">
        <f t="shared" si="2"/>
        <v>N</v>
      </c>
      <c r="O5" s="17">
        <v>4.8</v>
      </c>
      <c r="P5" s="16" t="s">
        <v>138</v>
      </c>
      <c r="Q5" s="18">
        <v>0</v>
      </c>
      <c r="R5" s="19">
        <v>18.47</v>
      </c>
      <c r="S5" s="19">
        <v>12.9</v>
      </c>
      <c r="T5" s="19">
        <v>23.9</v>
      </c>
      <c r="U5" s="20">
        <v>1.74</v>
      </c>
      <c r="V5" s="16" t="s">
        <v>7</v>
      </c>
      <c r="W5" s="21">
        <v>0.46</v>
      </c>
      <c r="X5" s="21">
        <v>0.21</v>
      </c>
      <c r="Y5" s="21">
        <v>0.08</v>
      </c>
      <c r="Z5" s="21">
        <v>0</v>
      </c>
      <c r="AA5" s="21">
        <v>0</v>
      </c>
      <c r="AB5" s="21">
        <v>0</v>
      </c>
      <c r="AC5" s="21">
        <v>0</v>
      </c>
      <c r="AD5" s="21">
        <v>0.25</v>
      </c>
      <c r="AE5" s="21">
        <v>5.49</v>
      </c>
      <c r="AF5" s="21">
        <v>4.18</v>
      </c>
      <c r="AG5" s="21">
        <v>9.8000000000000007</v>
      </c>
      <c r="AH5" s="18" t="s">
        <v>4</v>
      </c>
      <c r="AI5" s="13" t="str">
        <f>VLOOKUP(AH5,'Hess and Brezowsky'!$B$2:$G$31,2,FALSE)</f>
        <v>Mixed</v>
      </c>
      <c r="AJ5" s="18" t="str">
        <f>VLOOKUP(AH5,'Hess and Brezowsky'!$B$2:$G$31,3,FALSE)</f>
        <v>A</v>
      </c>
      <c r="AK5" s="13" t="str">
        <f>VLOOKUP(AH5,'Hess and Brezowsky'!$B$2:$G$31,4,FALSE)</f>
        <v>Zonal Ridge across Central Europe</v>
      </c>
      <c r="AL5" s="29">
        <v>0.15837962962962962</v>
      </c>
      <c r="AM5" s="29">
        <v>0.49442129629629628</v>
      </c>
      <c r="AN5" s="30">
        <v>0.830474537037037</v>
      </c>
    </row>
    <row r="6" spans="1:40" ht="15.75" customHeight="1" x14ac:dyDescent="0.2">
      <c r="A6" s="27">
        <v>44726</v>
      </c>
      <c r="B6" s="13">
        <v>2022</v>
      </c>
      <c r="C6" s="13">
        <v>165</v>
      </c>
      <c r="D6" s="13">
        <f t="shared" si="0"/>
        <v>3</v>
      </c>
      <c r="E6" s="13"/>
      <c r="F6" s="13">
        <f t="shared" si="1"/>
        <v>3</v>
      </c>
      <c r="G6" s="14">
        <v>0.57999999999999996</v>
      </c>
      <c r="H6" s="14">
        <v>0</v>
      </c>
      <c r="I6" s="14">
        <v>1</v>
      </c>
      <c r="J6" s="14">
        <v>0</v>
      </c>
      <c r="K6" s="14">
        <v>0</v>
      </c>
      <c r="L6" s="14">
        <v>1</v>
      </c>
      <c r="M6" s="15">
        <v>77.316000000000003</v>
      </c>
      <c r="N6" s="16" t="str">
        <f t="shared" si="2"/>
        <v>E</v>
      </c>
      <c r="O6" s="17">
        <v>5.5</v>
      </c>
      <c r="P6" s="16" t="s">
        <v>138</v>
      </c>
      <c r="Q6" s="18">
        <v>0</v>
      </c>
      <c r="R6" s="19">
        <v>21.26</v>
      </c>
      <c r="S6" s="19">
        <v>13.9</v>
      </c>
      <c r="T6" s="19">
        <v>27.4</v>
      </c>
      <c r="U6" s="20">
        <v>82.5</v>
      </c>
      <c r="V6" s="16" t="s">
        <v>9</v>
      </c>
      <c r="W6" s="21">
        <v>0</v>
      </c>
      <c r="X6" s="21">
        <v>0.08</v>
      </c>
      <c r="Y6" s="21">
        <v>0.92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5.65</v>
      </c>
      <c r="AF6" s="21">
        <v>5.53</v>
      </c>
      <c r="AG6" s="21">
        <v>10</v>
      </c>
      <c r="AH6" s="18" t="s">
        <v>8</v>
      </c>
      <c r="AI6" s="13" t="str">
        <f>VLOOKUP(AH6,'Hess and Brezowsky'!$B$2:$G$31,2,FALSE)</f>
        <v>Mixed</v>
      </c>
      <c r="AJ6" s="18" t="str">
        <f>VLOOKUP(AH6,'Hess and Brezowsky'!$B$2:$G$31,3,FALSE)</f>
        <v>A</v>
      </c>
      <c r="AK6" s="13" t="str">
        <f>VLOOKUP(AH6,'Hess and Brezowsky'!$B$2:$G$31,4,FALSE)</f>
        <v>High over Central Europe</v>
      </c>
      <c r="AL6" s="29">
        <v>0.15827546296296297</v>
      </c>
      <c r="AM6" s="29">
        <v>0.49456018518518519</v>
      </c>
      <c r="AN6" s="30">
        <v>0.83084490740740746</v>
      </c>
    </row>
    <row r="7" spans="1:40" ht="15.75" customHeight="1" x14ac:dyDescent="0.2">
      <c r="A7" s="27">
        <v>44727</v>
      </c>
      <c r="B7" s="13">
        <v>2022</v>
      </c>
      <c r="C7" s="13">
        <v>166</v>
      </c>
      <c r="D7" s="13">
        <f t="shared" si="0"/>
        <v>4</v>
      </c>
      <c r="E7" s="13"/>
      <c r="F7" s="13">
        <f t="shared" si="1"/>
        <v>3</v>
      </c>
      <c r="G7" s="14">
        <v>0.95</v>
      </c>
      <c r="H7" s="14">
        <v>0</v>
      </c>
      <c r="I7" s="14">
        <v>1</v>
      </c>
      <c r="J7" s="14">
        <v>0</v>
      </c>
      <c r="K7" s="14">
        <v>0</v>
      </c>
      <c r="L7" s="14">
        <v>1</v>
      </c>
      <c r="M7" s="15">
        <v>33.088000000000001</v>
      </c>
      <c r="N7" s="16" t="str">
        <f t="shared" si="2"/>
        <v>NE</v>
      </c>
      <c r="O7" s="17">
        <v>6</v>
      </c>
      <c r="P7" s="16" t="s">
        <v>138</v>
      </c>
      <c r="Q7" s="18">
        <v>0</v>
      </c>
      <c r="R7" s="19">
        <v>24.26</v>
      </c>
      <c r="S7" s="19">
        <v>16.600000000000001</v>
      </c>
      <c r="T7" s="19">
        <v>30.9</v>
      </c>
      <c r="U7" s="20">
        <v>37.47</v>
      </c>
      <c r="V7" s="16" t="s">
        <v>10</v>
      </c>
      <c r="W7" s="21">
        <v>0.38</v>
      </c>
      <c r="X7" s="21">
        <v>0.21</v>
      </c>
      <c r="Y7" s="21">
        <v>0.28999999999999998</v>
      </c>
      <c r="Z7" s="21">
        <v>0</v>
      </c>
      <c r="AA7" s="21">
        <v>0</v>
      </c>
      <c r="AB7" s="21">
        <v>0</v>
      </c>
      <c r="AC7" s="21">
        <v>0</v>
      </c>
      <c r="AD7" s="21">
        <v>0.12</v>
      </c>
      <c r="AE7" s="21">
        <v>5.51</v>
      </c>
      <c r="AF7" s="21">
        <v>4.3099999999999996</v>
      </c>
      <c r="AG7" s="21">
        <v>9.5</v>
      </c>
      <c r="AH7" s="18" t="s">
        <v>8</v>
      </c>
      <c r="AI7" s="13" t="str">
        <f>VLOOKUP(AH7,'Hess and Brezowsky'!$B$2:$G$31,2,FALSE)</f>
        <v>Mixed</v>
      </c>
      <c r="AJ7" s="18" t="str">
        <f>VLOOKUP(AH7,'Hess and Brezowsky'!$B$2:$G$31,3,FALSE)</f>
        <v>A</v>
      </c>
      <c r="AK7" s="13" t="str">
        <f>VLOOKUP(AH7,'Hess and Brezowsky'!$B$2:$G$31,4,FALSE)</f>
        <v>High over Central Europe</v>
      </c>
      <c r="AL7" s="29">
        <v>0.15820601851851851</v>
      </c>
      <c r="AM7" s="29">
        <v>0.4946990740740741</v>
      </c>
      <c r="AN7" s="30">
        <v>0.83119212962962963</v>
      </c>
    </row>
    <row r="8" spans="1:40" ht="15.75" customHeight="1" x14ac:dyDescent="0.2">
      <c r="A8" s="27">
        <v>44728</v>
      </c>
      <c r="B8" s="13">
        <v>2022</v>
      </c>
      <c r="C8" s="13">
        <v>167</v>
      </c>
      <c r="D8" s="13">
        <f t="shared" si="0"/>
        <v>5</v>
      </c>
      <c r="E8" s="13"/>
      <c r="F8" s="13">
        <f t="shared" si="1"/>
        <v>3</v>
      </c>
      <c r="G8" s="14">
        <v>1</v>
      </c>
      <c r="H8" s="14">
        <v>0</v>
      </c>
      <c r="I8" s="14">
        <v>1</v>
      </c>
      <c r="J8" s="14">
        <v>0</v>
      </c>
      <c r="K8" s="14">
        <v>0</v>
      </c>
      <c r="L8" s="14">
        <v>1</v>
      </c>
      <c r="M8" s="15">
        <v>35.652999999999999</v>
      </c>
      <c r="N8" s="16" t="str">
        <f t="shared" si="2"/>
        <v>NE</v>
      </c>
      <c r="O8" s="17">
        <v>4.5999999999999996</v>
      </c>
      <c r="P8" s="16" t="s">
        <v>138</v>
      </c>
      <c r="Q8" s="18">
        <v>0</v>
      </c>
      <c r="R8" s="19">
        <v>24.32</v>
      </c>
      <c r="S8" s="19">
        <v>18.2</v>
      </c>
      <c r="T8" s="19">
        <v>30.3</v>
      </c>
      <c r="U8" s="20">
        <v>37.78</v>
      </c>
      <c r="V8" s="16" t="s">
        <v>10</v>
      </c>
      <c r="W8" s="21">
        <v>0.21</v>
      </c>
      <c r="X8" s="21">
        <v>0.75</v>
      </c>
      <c r="Y8" s="21">
        <v>0.04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4.05</v>
      </c>
      <c r="AF8" s="21">
        <v>3.81</v>
      </c>
      <c r="AG8" s="21">
        <v>7.5</v>
      </c>
      <c r="AH8" s="18" t="s">
        <v>8</v>
      </c>
      <c r="AI8" s="13" t="str">
        <f>VLOOKUP(AH8,'Hess and Brezowsky'!$B$2:$G$31,2,FALSE)</f>
        <v>Mixed</v>
      </c>
      <c r="AJ8" s="18" t="str">
        <f>VLOOKUP(AH8,'Hess and Brezowsky'!$B$2:$G$31,3,FALSE)</f>
        <v>A</v>
      </c>
      <c r="AK8" s="13" t="str">
        <f>VLOOKUP(AH8,'Hess and Brezowsky'!$B$2:$G$31,4,FALSE)</f>
        <v>High over Central Europe</v>
      </c>
      <c r="AL8" s="29">
        <v>0.15817129629629631</v>
      </c>
      <c r="AM8" s="29">
        <v>0.49483796296296295</v>
      </c>
      <c r="AN8" s="30">
        <v>0.83150462962962968</v>
      </c>
    </row>
    <row r="9" spans="1:40" ht="15.75" customHeight="1" x14ac:dyDescent="0.2">
      <c r="A9" s="27">
        <v>44729</v>
      </c>
      <c r="B9" s="13">
        <v>2022</v>
      </c>
      <c r="C9" s="13">
        <v>168</v>
      </c>
      <c r="D9" s="13">
        <f t="shared" si="0"/>
        <v>6</v>
      </c>
      <c r="E9" s="13"/>
      <c r="F9" s="13">
        <f t="shared" si="1"/>
        <v>3</v>
      </c>
      <c r="G9" s="14">
        <v>0.79</v>
      </c>
      <c r="H9" s="14">
        <v>0</v>
      </c>
      <c r="I9" s="14">
        <v>1</v>
      </c>
      <c r="J9" s="14">
        <v>0</v>
      </c>
      <c r="K9" s="14">
        <v>0</v>
      </c>
      <c r="L9" s="14">
        <v>1</v>
      </c>
      <c r="M9" s="15">
        <v>150.58699999999999</v>
      </c>
      <c r="N9" s="16" t="str">
        <f t="shared" si="2"/>
        <v>SE</v>
      </c>
      <c r="O9" s="17">
        <v>4.5</v>
      </c>
      <c r="P9" s="16" t="s">
        <v>139</v>
      </c>
      <c r="Q9" s="18">
        <v>0</v>
      </c>
      <c r="R9" s="19">
        <v>27.16</v>
      </c>
      <c r="S9" s="19">
        <v>19.100000000000001</v>
      </c>
      <c r="T9" s="19">
        <v>34.9</v>
      </c>
      <c r="U9" s="20">
        <v>148.61000000000001</v>
      </c>
      <c r="V9" s="16" t="s">
        <v>11</v>
      </c>
      <c r="W9" s="21">
        <v>0</v>
      </c>
      <c r="X9" s="21">
        <v>0</v>
      </c>
      <c r="Y9" s="21">
        <v>0.12</v>
      </c>
      <c r="Z9" s="21">
        <v>0.21</v>
      </c>
      <c r="AA9" s="21">
        <v>0.46</v>
      </c>
      <c r="AB9" s="21">
        <v>0.21</v>
      </c>
      <c r="AC9" s="21">
        <v>0</v>
      </c>
      <c r="AD9" s="21">
        <v>0</v>
      </c>
      <c r="AE9" s="21">
        <v>3.92</v>
      </c>
      <c r="AF9" s="21">
        <v>3.05</v>
      </c>
      <c r="AG9" s="21">
        <v>8.4</v>
      </c>
      <c r="AH9" s="18" t="s">
        <v>8</v>
      </c>
      <c r="AI9" s="13" t="str">
        <f>VLOOKUP(AH9,'Hess and Brezowsky'!$B$2:$G$31,2,FALSE)</f>
        <v>Mixed</v>
      </c>
      <c r="AJ9" s="18" t="str">
        <f>VLOOKUP(AH9,'Hess and Brezowsky'!$B$2:$G$31,3,FALSE)</f>
        <v>A</v>
      </c>
      <c r="AK9" s="13" t="str">
        <f>VLOOKUP(AH9,'Hess and Brezowsky'!$B$2:$G$31,4,FALSE)</f>
        <v>High over Central Europe</v>
      </c>
      <c r="AL9" s="29">
        <v>0.15817129629629631</v>
      </c>
      <c r="AM9" s="29">
        <v>0.49497685185185186</v>
      </c>
      <c r="AN9" s="30">
        <v>0.83179398148148154</v>
      </c>
    </row>
    <row r="10" spans="1:40" ht="15.75" customHeight="1" x14ac:dyDescent="0.2">
      <c r="A10" s="27">
        <v>44730</v>
      </c>
      <c r="B10" s="13">
        <v>2022</v>
      </c>
      <c r="C10" s="13">
        <v>169</v>
      </c>
      <c r="D10" s="13">
        <f t="shared" si="0"/>
        <v>7</v>
      </c>
      <c r="E10" s="13"/>
      <c r="F10" s="13">
        <f t="shared" si="1"/>
        <v>3</v>
      </c>
      <c r="G10" s="14">
        <v>0.66</v>
      </c>
      <c r="H10" s="14">
        <v>0</v>
      </c>
      <c r="I10" s="14">
        <v>1</v>
      </c>
      <c r="J10" s="14">
        <v>0</v>
      </c>
      <c r="K10" s="14">
        <v>0</v>
      </c>
      <c r="L10" s="14">
        <v>0.91</v>
      </c>
      <c r="M10" s="15">
        <v>162.85499999999999</v>
      </c>
      <c r="N10" s="16" t="str">
        <f t="shared" si="2"/>
        <v>S</v>
      </c>
      <c r="O10" s="17">
        <v>6.3</v>
      </c>
      <c r="P10" s="16" t="s">
        <v>139</v>
      </c>
      <c r="Q10" s="18">
        <v>0</v>
      </c>
      <c r="R10" s="19">
        <v>29.72</v>
      </c>
      <c r="S10" s="19">
        <v>21.2</v>
      </c>
      <c r="T10" s="19">
        <v>36.700000000000003</v>
      </c>
      <c r="U10" s="20">
        <v>164.22</v>
      </c>
      <c r="V10" s="16" t="s">
        <v>13</v>
      </c>
      <c r="W10" s="21">
        <v>0</v>
      </c>
      <c r="X10" s="21">
        <v>0</v>
      </c>
      <c r="Y10" s="21">
        <v>0</v>
      </c>
      <c r="Z10" s="21">
        <v>0.46</v>
      </c>
      <c r="AA10" s="21">
        <v>0.5</v>
      </c>
      <c r="AB10" s="21">
        <v>0.04</v>
      </c>
      <c r="AC10" s="21">
        <v>0</v>
      </c>
      <c r="AD10" s="21">
        <v>0</v>
      </c>
      <c r="AE10" s="21">
        <v>6.28</v>
      </c>
      <c r="AF10" s="21">
        <v>5.68</v>
      </c>
      <c r="AG10" s="21">
        <v>15</v>
      </c>
      <c r="AH10" s="18" t="s">
        <v>12</v>
      </c>
      <c r="AI10" s="13" t="str">
        <f>VLOOKUP(AH10,'Hess and Brezowsky'!$B$2:$G$31,2,FALSE)</f>
        <v>Undefined</v>
      </c>
      <c r="AJ10" s="18" t="str">
        <f>VLOOKUP(AH10,'Hess and Brezowsky'!$B$2:$G$31,3,FALSE)</f>
        <v>M</v>
      </c>
      <c r="AK10" s="13" t="str">
        <f>VLOOKUP(AH10,'Hess and Brezowsky'!$B$2:$G$31,4,FALSE)</f>
        <v>Transistion / Undefined</v>
      </c>
      <c r="AL10" s="29">
        <v>0.15819444444444444</v>
      </c>
      <c r="AM10" s="29">
        <v>0.49511574074074072</v>
      </c>
      <c r="AN10" s="30">
        <v>0.83204861111111106</v>
      </c>
    </row>
    <row r="11" spans="1:40" ht="15.75" customHeight="1" x14ac:dyDescent="0.2">
      <c r="A11" s="27">
        <v>44731</v>
      </c>
      <c r="B11" s="13">
        <v>2022</v>
      </c>
      <c r="C11" s="13">
        <v>170</v>
      </c>
      <c r="D11" s="13">
        <f t="shared" si="0"/>
        <v>1</v>
      </c>
      <c r="E11" s="13"/>
      <c r="F11" s="13">
        <f t="shared" si="1"/>
        <v>3</v>
      </c>
      <c r="G11" s="14">
        <v>1</v>
      </c>
      <c r="H11" s="14">
        <v>0</v>
      </c>
      <c r="I11" s="14">
        <v>1</v>
      </c>
      <c r="J11" s="14">
        <v>0</v>
      </c>
      <c r="K11" s="14">
        <v>0</v>
      </c>
      <c r="L11" s="14">
        <v>1</v>
      </c>
      <c r="M11" s="15">
        <v>15.896000000000001</v>
      </c>
      <c r="N11" s="16" t="str">
        <f t="shared" si="2"/>
        <v>N</v>
      </c>
      <c r="O11" s="17">
        <v>7.4</v>
      </c>
      <c r="P11" s="16" t="s">
        <v>137</v>
      </c>
      <c r="Q11" s="18">
        <v>5.6</v>
      </c>
      <c r="R11" s="19">
        <v>19.78</v>
      </c>
      <c r="S11" s="19">
        <v>15.4</v>
      </c>
      <c r="T11" s="19">
        <v>26.7</v>
      </c>
      <c r="U11" s="20">
        <v>13.97</v>
      </c>
      <c r="V11" s="16" t="s">
        <v>7</v>
      </c>
      <c r="W11" s="21">
        <v>0.42</v>
      </c>
      <c r="X11" s="21">
        <v>0.46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0.12</v>
      </c>
      <c r="AE11" s="21">
        <v>6.98</v>
      </c>
      <c r="AF11" s="21">
        <v>6.36</v>
      </c>
      <c r="AG11" s="21">
        <v>14.6</v>
      </c>
      <c r="AH11" s="18" t="s">
        <v>14</v>
      </c>
      <c r="AI11" s="13" t="str">
        <f>VLOOKUP(AH11,'Hess and Brezowsky'!$B$2:$G$31,2,FALSE)</f>
        <v>Meridional</v>
      </c>
      <c r="AJ11" s="18" t="str">
        <f>VLOOKUP(AH11,'Hess and Brezowsky'!$B$2:$G$31,3,FALSE)</f>
        <v>A</v>
      </c>
      <c r="AK11" s="13" t="str">
        <f>VLOOKUP(AH11,'Hess and Brezowsky'!$B$2:$G$31,4,FALSE)</f>
        <v>High over the British Isles</v>
      </c>
      <c r="AL11" s="29">
        <v>0.1582523148148148</v>
      </c>
      <c r="AM11" s="29">
        <v>0.49526620370370372</v>
      </c>
      <c r="AN11" s="30">
        <v>0.83228009259259261</v>
      </c>
    </row>
    <row r="12" spans="1:40" ht="15.75" customHeight="1" x14ac:dyDescent="0.2">
      <c r="A12" s="27">
        <v>44732</v>
      </c>
      <c r="B12" s="13">
        <v>2022</v>
      </c>
      <c r="C12" s="13">
        <v>171</v>
      </c>
      <c r="D12" s="13">
        <f t="shared" si="0"/>
        <v>2</v>
      </c>
      <c r="E12" s="13"/>
      <c r="F12" s="13">
        <f t="shared" si="1"/>
        <v>3</v>
      </c>
      <c r="G12" s="14">
        <v>1</v>
      </c>
      <c r="H12" s="14">
        <v>0</v>
      </c>
      <c r="I12" s="14">
        <v>1</v>
      </c>
      <c r="J12" s="14">
        <v>0</v>
      </c>
      <c r="K12" s="14">
        <v>0</v>
      </c>
      <c r="L12" s="14">
        <v>1</v>
      </c>
      <c r="M12" s="15">
        <v>46.593000000000004</v>
      </c>
      <c r="N12" s="16" t="str">
        <f t="shared" si="2"/>
        <v>NE</v>
      </c>
      <c r="O12" s="17">
        <v>6.4</v>
      </c>
      <c r="P12" s="16" t="s">
        <v>137</v>
      </c>
      <c r="Q12" s="18">
        <v>8.3000000000000007</v>
      </c>
      <c r="R12" s="19">
        <v>18.39</v>
      </c>
      <c r="S12" s="19">
        <v>14.7</v>
      </c>
      <c r="T12" s="19">
        <v>23</v>
      </c>
      <c r="U12" s="20">
        <v>43.71</v>
      </c>
      <c r="V12" s="16" t="s">
        <v>10</v>
      </c>
      <c r="W12" s="21">
        <v>0.08</v>
      </c>
      <c r="X12" s="21">
        <v>0.75</v>
      </c>
      <c r="Y12" s="21">
        <v>0.12</v>
      </c>
      <c r="Z12" s="21">
        <v>0</v>
      </c>
      <c r="AA12" s="21">
        <v>0</v>
      </c>
      <c r="AB12" s="21">
        <v>0</v>
      </c>
      <c r="AC12" s="21">
        <v>0</v>
      </c>
      <c r="AD12" s="21">
        <v>0.04</v>
      </c>
      <c r="AE12" s="21">
        <v>6.02</v>
      </c>
      <c r="AF12" s="21">
        <v>5.41</v>
      </c>
      <c r="AG12" s="21">
        <v>11.7</v>
      </c>
      <c r="AH12" s="18" t="s">
        <v>14</v>
      </c>
      <c r="AI12" s="13" t="str">
        <f>VLOOKUP(AH12,'Hess and Brezowsky'!$B$2:$G$31,2,FALSE)</f>
        <v>Meridional</v>
      </c>
      <c r="AJ12" s="18" t="str">
        <f>VLOOKUP(AH12,'Hess and Brezowsky'!$B$2:$G$31,3,FALSE)</f>
        <v>A</v>
      </c>
      <c r="AK12" s="13" t="str">
        <f>VLOOKUP(AH12,'Hess and Brezowsky'!$B$2:$G$31,4,FALSE)</f>
        <v>High over the British Isles</v>
      </c>
      <c r="AL12" s="29">
        <v>0.15833333333333333</v>
      </c>
      <c r="AM12" s="29">
        <v>0.49540509259259258</v>
      </c>
      <c r="AN12" s="30">
        <v>0.83247685185185183</v>
      </c>
    </row>
    <row r="13" spans="1:40" ht="15.75" customHeight="1" x14ac:dyDescent="0.2">
      <c r="A13" s="27">
        <v>44733</v>
      </c>
      <c r="B13" s="13">
        <v>2022</v>
      </c>
      <c r="C13" s="13">
        <v>172</v>
      </c>
      <c r="D13" s="13">
        <f t="shared" si="0"/>
        <v>3</v>
      </c>
      <c r="E13" s="13"/>
      <c r="F13" s="13">
        <f t="shared" si="1"/>
        <v>3</v>
      </c>
      <c r="G13" s="14">
        <v>1</v>
      </c>
      <c r="H13" s="14">
        <v>0</v>
      </c>
      <c r="I13" s="14">
        <v>1</v>
      </c>
      <c r="J13" s="14">
        <v>0</v>
      </c>
      <c r="K13" s="14">
        <v>0</v>
      </c>
      <c r="L13" s="14">
        <v>1</v>
      </c>
      <c r="M13" s="15">
        <v>56.234000000000002</v>
      </c>
      <c r="N13" s="16" t="str">
        <f t="shared" si="2"/>
        <v>NE</v>
      </c>
      <c r="O13" s="17">
        <v>5.3</v>
      </c>
      <c r="P13" s="16" t="s">
        <v>137</v>
      </c>
      <c r="Q13" s="18">
        <v>0.8</v>
      </c>
      <c r="R13" s="19">
        <v>21.21</v>
      </c>
      <c r="S13" s="19">
        <v>14.9</v>
      </c>
      <c r="T13" s="19">
        <v>27.3</v>
      </c>
      <c r="U13" s="20">
        <v>56.75</v>
      </c>
      <c r="V13" s="16" t="s">
        <v>10</v>
      </c>
      <c r="W13" s="21">
        <v>0.17</v>
      </c>
      <c r="X13" s="21">
        <v>0.54</v>
      </c>
      <c r="Y13" s="21">
        <v>0.21</v>
      </c>
      <c r="Z13" s="21">
        <v>0.08</v>
      </c>
      <c r="AA13" s="21">
        <v>0</v>
      </c>
      <c r="AB13" s="21">
        <v>0</v>
      </c>
      <c r="AC13" s="21">
        <v>0</v>
      </c>
      <c r="AD13" s="21">
        <v>0</v>
      </c>
      <c r="AE13" s="21">
        <v>4.9000000000000004</v>
      </c>
      <c r="AF13" s="21">
        <v>4.53</v>
      </c>
      <c r="AG13" s="21">
        <v>9.8000000000000007</v>
      </c>
      <c r="AH13" s="18" t="s">
        <v>14</v>
      </c>
      <c r="AI13" s="13" t="str">
        <f>VLOOKUP(AH13,'Hess and Brezowsky'!$B$2:$G$31,2,FALSE)</f>
        <v>Meridional</v>
      </c>
      <c r="AJ13" s="18" t="str">
        <f>VLOOKUP(AH13,'Hess and Brezowsky'!$B$2:$G$31,3,FALSE)</f>
        <v>A</v>
      </c>
      <c r="AK13" s="13" t="str">
        <f>VLOOKUP(AH13,'Hess and Brezowsky'!$B$2:$G$31,4,FALSE)</f>
        <v>High over the British Isles</v>
      </c>
      <c r="AL13" s="29">
        <v>0.15844907407407408</v>
      </c>
      <c r="AM13" s="29">
        <v>0.49554398148148149</v>
      </c>
      <c r="AN13" s="30">
        <v>0.83263888888888893</v>
      </c>
    </row>
    <row r="14" spans="1:40" ht="15.75" customHeight="1" x14ac:dyDescent="0.2">
      <c r="A14" s="27">
        <v>44734</v>
      </c>
      <c r="B14" s="13">
        <v>2022</v>
      </c>
      <c r="C14" s="13">
        <v>173</v>
      </c>
      <c r="D14" s="13">
        <f t="shared" si="0"/>
        <v>4</v>
      </c>
      <c r="E14" s="13"/>
      <c r="F14" s="13">
        <f t="shared" si="1"/>
        <v>3</v>
      </c>
      <c r="G14" s="14">
        <v>0.95</v>
      </c>
      <c r="H14" s="14">
        <v>0</v>
      </c>
      <c r="I14" s="14">
        <v>1</v>
      </c>
      <c r="J14" s="14">
        <v>0</v>
      </c>
      <c r="K14" s="14">
        <v>0</v>
      </c>
      <c r="L14" s="14">
        <v>1</v>
      </c>
      <c r="M14" s="15">
        <v>63.444000000000003</v>
      </c>
      <c r="N14" s="16" t="str">
        <f t="shared" si="2"/>
        <v>NE</v>
      </c>
      <c r="O14" s="17">
        <v>5.0999999999999996</v>
      </c>
      <c r="P14" s="16" t="s">
        <v>137</v>
      </c>
      <c r="Q14" s="18">
        <v>0</v>
      </c>
      <c r="R14" s="19">
        <v>21.12</v>
      </c>
      <c r="S14" s="19">
        <v>16.7</v>
      </c>
      <c r="T14" s="19">
        <v>26</v>
      </c>
      <c r="U14" s="20">
        <v>66.849999999999994</v>
      </c>
      <c r="V14" s="16" t="s">
        <v>10</v>
      </c>
      <c r="W14" s="21">
        <v>0</v>
      </c>
      <c r="X14" s="21">
        <v>0.42</v>
      </c>
      <c r="Y14" s="21">
        <v>0.57999999999999996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4.91</v>
      </c>
      <c r="AF14" s="21">
        <v>4.75</v>
      </c>
      <c r="AG14" s="21">
        <v>8.8000000000000007</v>
      </c>
      <c r="AH14" s="18" t="s">
        <v>14</v>
      </c>
      <c r="AI14" s="13" t="str">
        <f>VLOOKUP(AH14,'Hess and Brezowsky'!$B$2:$G$31,2,FALSE)</f>
        <v>Meridional</v>
      </c>
      <c r="AJ14" s="18" t="str">
        <f>VLOOKUP(AH14,'Hess and Brezowsky'!$B$2:$G$31,3,FALSE)</f>
        <v>A</v>
      </c>
      <c r="AK14" s="13" t="str">
        <f>VLOOKUP(AH14,'Hess and Brezowsky'!$B$2:$G$31,4,FALSE)</f>
        <v>High over the British Isles</v>
      </c>
      <c r="AL14" s="29">
        <v>0.15859953703703702</v>
      </c>
      <c r="AM14" s="29">
        <v>0.49568287037037034</v>
      </c>
      <c r="AN14" s="30">
        <v>0.83277777777777773</v>
      </c>
    </row>
    <row r="15" spans="1:40" ht="15.75" customHeight="1" x14ac:dyDescent="0.2">
      <c r="A15" s="27">
        <v>44735</v>
      </c>
      <c r="B15" s="13">
        <v>2022</v>
      </c>
      <c r="C15" s="13">
        <v>174</v>
      </c>
      <c r="D15" s="13">
        <f t="shared" si="0"/>
        <v>5</v>
      </c>
      <c r="E15" s="13"/>
      <c r="F15" s="13">
        <f t="shared" si="1"/>
        <v>3</v>
      </c>
      <c r="G15" s="14">
        <v>1</v>
      </c>
      <c r="H15" s="14">
        <v>0</v>
      </c>
      <c r="I15" s="14">
        <v>1</v>
      </c>
      <c r="J15" s="14">
        <v>0</v>
      </c>
      <c r="K15" s="14">
        <v>0</v>
      </c>
      <c r="L15" s="14">
        <v>1</v>
      </c>
      <c r="M15" s="15">
        <v>212.185</v>
      </c>
      <c r="N15" s="16" t="str">
        <f t="shared" si="2"/>
        <v>SW</v>
      </c>
      <c r="O15" s="17">
        <v>5.3</v>
      </c>
      <c r="P15" s="16" t="s">
        <v>137</v>
      </c>
      <c r="Q15" s="18">
        <v>0</v>
      </c>
      <c r="R15" s="19">
        <v>23.47</v>
      </c>
      <c r="S15" s="19">
        <v>18.5</v>
      </c>
      <c r="T15" s="19">
        <v>28.4</v>
      </c>
      <c r="U15" s="20">
        <v>216.46</v>
      </c>
      <c r="V15" s="16" t="s">
        <v>5</v>
      </c>
      <c r="W15" s="21">
        <v>0</v>
      </c>
      <c r="X15" s="21">
        <v>0</v>
      </c>
      <c r="Y15" s="21">
        <v>0.04</v>
      </c>
      <c r="Z15" s="21">
        <v>0.04</v>
      </c>
      <c r="AA15" s="21">
        <v>0.38</v>
      </c>
      <c r="AB15" s="21">
        <v>0.33</v>
      </c>
      <c r="AC15" s="21">
        <v>0.21</v>
      </c>
      <c r="AD15" s="21">
        <v>0</v>
      </c>
      <c r="AE15" s="21">
        <v>4.18</v>
      </c>
      <c r="AF15" s="21">
        <v>3.22</v>
      </c>
      <c r="AG15" s="21">
        <v>7.9</v>
      </c>
      <c r="AH15" s="18" t="s">
        <v>15</v>
      </c>
      <c r="AI15" s="13" t="str">
        <f>VLOOKUP(AH15,'Hess and Brezowsky'!$B$2:$G$31,2,FALSE)</f>
        <v>Meridional</v>
      </c>
      <c r="AJ15" s="18" t="str">
        <f>VLOOKUP(AH15,'Hess and Brezowsky'!$B$2:$G$31,3,FALSE)</f>
        <v>C</v>
      </c>
      <c r="AK15" s="13" t="str">
        <f>VLOOKUP(AH15,'Hess and Brezowsky'!$B$2:$G$31,4,FALSE)</f>
        <v>Cyclonic Southerly</v>
      </c>
      <c r="AL15" s="29">
        <v>0.15877314814814814</v>
      </c>
      <c r="AM15" s="29">
        <v>0.49582175925925925</v>
      </c>
      <c r="AN15" s="30">
        <v>0.83288194444444441</v>
      </c>
    </row>
    <row r="16" spans="1:40" ht="15.75" customHeight="1" x14ac:dyDescent="0.2">
      <c r="A16" s="27">
        <v>44736</v>
      </c>
      <c r="B16" s="13">
        <v>2022</v>
      </c>
      <c r="C16" s="13">
        <v>175</v>
      </c>
      <c r="D16" s="13">
        <f t="shared" si="0"/>
        <v>6</v>
      </c>
      <c r="E16" s="13"/>
      <c r="F16" s="13">
        <f t="shared" si="1"/>
        <v>3</v>
      </c>
      <c r="G16" s="14">
        <v>1</v>
      </c>
      <c r="H16" s="14">
        <v>0</v>
      </c>
      <c r="I16" s="14">
        <v>1</v>
      </c>
      <c r="J16" s="14">
        <v>0</v>
      </c>
      <c r="K16" s="14">
        <v>0</v>
      </c>
      <c r="L16" s="14">
        <v>1</v>
      </c>
      <c r="M16" s="15">
        <v>227.20400000000001</v>
      </c>
      <c r="N16" s="16" t="str">
        <f t="shared" si="2"/>
        <v>SW</v>
      </c>
      <c r="O16" s="17">
        <v>7.8</v>
      </c>
      <c r="P16" s="16" t="s">
        <v>137</v>
      </c>
      <c r="Q16" s="18">
        <v>9.5</v>
      </c>
      <c r="R16" s="19">
        <v>20.84</v>
      </c>
      <c r="S16" s="19">
        <v>17.5</v>
      </c>
      <c r="T16" s="19">
        <v>25</v>
      </c>
      <c r="U16" s="20">
        <v>224.08</v>
      </c>
      <c r="V16" s="16" t="s">
        <v>5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0.92</v>
      </c>
      <c r="AC16" s="21">
        <v>0.08</v>
      </c>
      <c r="AD16" s="21">
        <v>0</v>
      </c>
      <c r="AE16" s="21">
        <v>5.83</v>
      </c>
      <c r="AF16" s="21">
        <v>5.7</v>
      </c>
      <c r="AG16" s="21">
        <v>13.1</v>
      </c>
      <c r="AH16" s="18" t="s">
        <v>15</v>
      </c>
      <c r="AI16" s="13" t="str">
        <f>VLOOKUP(AH16,'Hess and Brezowsky'!$B$2:$G$31,2,FALSE)</f>
        <v>Meridional</v>
      </c>
      <c r="AJ16" s="18" t="str">
        <f>VLOOKUP(AH16,'Hess and Brezowsky'!$B$2:$G$31,3,FALSE)</f>
        <v>C</v>
      </c>
      <c r="AK16" s="13" t="str">
        <f>VLOOKUP(AH16,'Hess and Brezowsky'!$B$2:$G$31,4,FALSE)</f>
        <v>Cyclonic Southerly</v>
      </c>
      <c r="AL16" s="29">
        <v>0.15898148148148147</v>
      </c>
      <c r="AM16" s="29">
        <v>0.4959722222222222</v>
      </c>
      <c r="AN16" s="30">
        <v>0.83295138888888887</v>
      </c>
    </row>
    <row r="17" spans="1:40" ht="15.75" customHeight="1" x14ac:dyDescent="0.2">
      <c r="A17" s="27">
        <v>44737</v>
      </c>
      <c r="B17" s="13">
        <v>2022</v>
      </c>
      <c r="C17" s="13">
        <v>176</v>
      </c>
      <c r="D17" s="13">
        <f t="shared" si="0"/>
        <v>7</v>
      </c>
      <c r="E17" s="13"/>
      <c r="F17" s="13">
        <f t="shared" si="1"/>
        <v>3</v>
      </c>
      <c r="G17" s="14">
        <v>1</v>
      </c>
      <c r="H17" s="14">
        <v>0</v>
      </c>
      <c r="I17" s="14">
        <v>1</v>
      </c>
      <c r="J17" s="14">
        <v>0</v>
      </c>
      <c r="K17" s="14">
        <v>0</v>
      </c>
      <c r="L17" s="14">
        <v>1</v>
      </c>
      <c r="M17" s="15">
        <v>209.708</v>
      </c>
      <c r="N17" s="16" t="str">
        <f t="shared" si="2"/>
        <v>SW</v>
      </c>
      <c r="O17" s="17">
        <v>5.7</v>
      </c>
      <c r="P17" s="16" t="s">
        <v>140</v>
      </c>
      <c r="Q17" s="18">
        <v>0.8</v>
      </c>
      <c r="R17" s="19">
        <v>17.13</v>
      </c>
      <c r="S17" s="19">
        <v>14.1</v>
      </c>
      <c r="T17" s="19">
        <v>19</v>
      </c>
      <c r="U17" s="20">
        <v>204.14</v>
      </c>
      <c r="V17" s="16" t="s">
        <v>5</v>
      </c>
      <c r="W17" s="21">
        <v>0</v>
      </c>
      <c r="X17" s="21">
        <v>0</v>
      </c>
      <c r="Y17" s="21">
        <v>0</v>
      </c>
      <c r="Z17" s="21">
        <v>0</v>
      </c>
      <c r="AA17" s="21">
        <v>0.57999999999999996</v>
      </c>
      <c r="AB17" s="21">
        <v>0.42</v>
      </c>
      <c r="AC17" s="21">
        <v>0</v>
      </c>
      <c r="AD17" s="21">
        <v>0</v>
      </c>
      <c r="AE17" s="21">
        <v>5.01</v>
      </c>
      <c r="AF17" s="21">
        <v>4.8600000000000003</v>
      </c>
      <c r="AG17" s="21">
        <v>11.6</v>
      </c>
      <c r="AH17" s="18" t="s">
        <v>15</v>
      </c>
      <c r="AI17" s="13" t="str">
        <f>VLOOKUP(AH17,'Hess and Brezowsky'!$B$2:$G$31,2,FALSE)</f>
        <v>Meridional</v>
      </c>
      <c r="AJ17" s="18" t="str">
        <f>VLOOKUP(AH17,'Hess and Brezowsky'!$B$2:$G$31,3,FALSE)</f>
        <v>C</v>
      </c>
      <c r="AK17" s="13" t="str">
        <f>VLOOKUP(AH17,'Hess and Brezowsky'!$B$2:$G$31,4,FALSE)</f>
        <v>Cyclonic Southerly</v>
      </c>
      <c r="AL17" s="29">
        <v>0.15922453703703704</v>
      </c>
      <c r="AM17" s="29">
        <v>0.49609953703703702</v>
      </c>
      <c r="AN17" s="30">
        <v>0.83298611111111109</v>
      </c>
    </row>
    <row r="18" spans="1:40" ht="15.75" customHeight="1" x14ac:dyDescent="0.2">
      <c r="A18" s="27">
        <v>44738</v>
      </c>
      <c r="B18" s="13">
        <v>2022</v>
      </c>
      <c r="C18" s="13">
        <v>177</v>
      </c>
      <c r="D18" s="13">
        <f t="shared" si="0"/>
        <v>1</v>
      </c>
      <c r="E18" s="13"/>
      <c r="F18" s="13">
        <f t="shared" si="1"/>
        <v>3</v>
      </c>
      <c r="G18" s="14">
        <v>1</v>
      </c>
      <c r="H18" s="14">
        <v>0</v>
      </c>
      <c r="I18" s="14">
        <v>1</v>
      </c>
      <c r="J18" s="14">
        <v>0</v>
      </c>
      <c r="K18" s="14">
        <v>0</v>
      </c>
      <c r="L18" s="14">
        <v>1</v>
      </c>
      <c r="M18" s="15">
        <v>207.69</v>
      </c>
      <c r="N18" s="16" t="str">
        <f t="shared" si="2"/>
        <v>SW</v>
      </c>
      <c r="O18" s="17">
        <v>4.5</v>
      </c>
      <c r="P18" s="16" t="s">
        <v>137</v>
      </c>
      <c r="Q18" s="18">
        <v>0</v>
      </c>
      <c r="R18" s="19">
        <v>17.96</v>
      </c>
      <c r="S18" s="19">
        <v>13.2</v>
      </c>
      <c r="T18" s="19">
        <v>23</v>
      </c>
      <c r="U18" s="20">
        <v>217.43</v>
      </c>
      <c r="V18" s="16" t="s">
        <v>5</v>
      </c>
      <c r="W18" s="21">
        <v>0</v>
      </c>
      <c r="X18" s="21">
        <v>0</v>
      </c>
      <c r="Y18" s="21">
        <v>0</v>
      </c>
      <c r="Z18" s="21">
        <v>0</v>
      </c>
      <c r="AA18" s="21">
        <v>0.57999999999999996</v>
      </c>
      <c r="AB18" s="21">
        <v>0.17</v>
      </c>
      <c r="AC18" s="21">
        <v>0.25</v>
      </c>
      <c r="AD18" s="21">
        <v>0</v>
      </c>
      <c r="AE18" s="21">
        <v>4.3099999999999996</v>
      </c>
      <c r="AF18" s="21">
        <v>3.14</v>
      </c>
      <c r="AG18" s="21">
        <v>10.199999999999999</v>
      </c>
      <c r="AH18" s="18" t="s">
        <v>15</v>
      </c>
      <c r="AI18" s="13" t="str">
        <f>VLOOKUP(AH18,'Hess and Brezowsky'!$B$2:$G$31,2,FALSE)</f>
        <v>Meridional</v>
      </c>
      <c r="AJ18" s="18" t="str">
        <f>VLOOKUP(AH18,'Hess and Brezowsky'!$B$2:$G$31,3,FALSE)</f>
        <v>C</v>
      </c>
      <c r="AK18" s="13" t="str">
        <f>VLOOKUP(AH18,'Hess and Brezowsky'!$B$2:$G$31,4,FALSE)</f>
        <v>Cyclonic Southerly</v>
      </c>
      <c r="AL18" s="29">
        <v>0.15949074074074074</v>
      </c>
      <c r="AM18" s="29">
        <v>0.49623842592592593</v>
      </c>
      <c r="AN18" s="30">
        <v>0.83299768518518513</v>
      </c>
    </row>
    <row r="19" spans="1:40" ht="15.75" customHeight="1" x14ac:dyDescent="0.2">
      <c r="A19" s="27">
        <v>44739</v>
      </c>
      <c r="B19" s="13">
        <v>2022</v>
      </c>
      <c r="C19" s="13">
        <v>178</v>
      </c>
      <c r="D19" s="13">
        <f t="shared" si="0"/>
        <v>2</v>
      </c>
      <c r="E19" s="13"/>
      <c r="F19" s="13">
        <f t="shared" si="1"/>
        <v>3</v>
      </c>
      <c r="G19" s="14">
        <v>1</v>
      </c>
      <c r="H19" s="14">
        <v>0</v>
      </c>
      <c r="I19" s="14">
        <v>1</v>
      </c>
      <c r="J19" s="14">
        <v>0</v>
      </c>
      <c r="K19" s="14">
        <v>0</v>
      </c>
      <c r="L19" s="14">
        <v>1</v>
      </c>
      <c r="M19" s="15">
        <v>275.31200000000001</v>
      </c>
      <c r="N19" s="16" t="str">
        <f t="shared" si="2"/>
        <v>W</v>
      </c>
      <c r="O19" s="17">
        <v>5.4</v>
      </c>
      <c r="P19" s="16" t="s">
        <v>137</v>
      </c>
      <c r="Q19" s="18">
        <v>0</v>
      </c>
      <c r="R19" s="19">
        <v>19.22</v>
      </c>
      <c r="S19" s="19">
        <v>15.2</v>
      </c>
      <c r="T19" s="19">
        <v>24</v>
      </c>
      <c r="U19" s="20">
        <v>270.33999999999997</v>
      </c>
      <c r="V19" s="16" t="s">
        <v>16</v>
      </c>
      <c r="W19" s="21">
        <v>0.08</v>
      </c>
      <c r="X19" s="21">
        <v>0</v>
      </c>
      <c r="Y19" s="21">
        <v>0</v>
      </c>
      <c r="Z19" s="21">
        <v>0</v>
      </c>
      <c r="AA19" s="21">
        <v>0</v>
      </c>
      <c r="AB19" s="21">
        <v>0.17</v>
      </c>
      <c r="AC19" s="21">
        <v>0.71</v>
      </c>
      <c r="AD19" s="21">
        <v>0.04</v>
      </c>
      <c r="AE19" s="21">
        <v>5.51</v>
      </c>
      <c r="AF19" s="21">
        <v>4.78</v>
      </c>
      <c r="AG19" s="21">
        <v>9.6</v>
      </c>
      <c r="AH19" s="18" t="s">
        <v>15</v>
      </c>
      <c r="AI19" s="13" t="str">
        <f>VLOOKUP(AH19,'Hess and Brezowsky'!$B$2:$G$31,2,FALSE)</f>
        <v>Meridional</v>
      </c>
      <c r="AJ19" s="18" t="str">
        <f>VLOOKUP(AH19,'Hess and Brezowsky'!$B$2:$G$31,3,FALSE)</f>
        <v>C</v>
      </c>
      <c r="AK19" s="13" t="str">
        <f>VLOOKUP(AH19,'Hess and Brezowsky'!$B$2:$G$31,4,FALSE)</f>
        <v>Cyclonic Southerly</v>
      </c>
      <c r="AL19" s="29">
        <v>0.1597800925925926</v>
      </c>
      <c r="AM19" s="29">
        <v>0.49637731481481484</v>
      </c>
      <c r="AN19" s="30">
        <v>0.83297453703703705</v>
      </c>
    </row>
    <row r="20" spans="1:40" ht="15.75" customHeight="1" x14ac:dyDescent="0.2">
      <c r="A20" s="27">
        <v>44740</v>
      </c>
      <c r="B20" s="13">
        <v>2022</v>
      </c>
      <c r="C20" s="13">
        <v>179</v>
      </c>
      <c r="D20" s="13">
        <f t="shared" si="0"/>
        <v>3</v>
      </c>
      <c r="E20" s="13"/>
      <c r="F20" s="13">
        <f t="shared" si="1"/>
        <v>3</v>
      </c>
      <c r="G20" s="14">
        <v>0.91</v>
      </c>
      <c r="H20" s="14">
        <v>0</v>
      </c>
      <c r="I20" s="14">
        <v>1</v>
      </c>
      <c r="J20" s="14">
        <v>0</v>
      </c>
      <c r="K20" s="14">
        <v>0</v>
      </c>
      <c r="L20" s="14">
        <v>1</v>
      </c>
      <c r="M20" s="15">
        <v>156.434</v>
      </c>
      <c r="N20" s="16" t="str">
        <f t="shared" si="2"/>
        <v>SE</v>
      </c>
      <c r="O20" s="17">
        <v>4.2</v>
      </c>
      <c r="P20" s="16" t="s">
        <v>137</v>
      </c>
      <c r="Q20" s="18">
        <v>0</v>
      </c>
      <c r="R20" s="19">
        <v>21.55</v>
      </c>
      <c r="S20" s="19">
        <v>13.9</v>
      </c>
      <c r="T20" s="19">
        <v>27.9</v>
      </c>
      <c r="U20" s="20">
        <v>238.74</v>
      </c>
      <c r="V20" s="16" t="s">
        <v>5</v>
      </c>
      <c r="W20" s="21">
        <v>0.04</v>
      </c>
      <c r="X20" s="21">
        <v>0.17</v>
      </c>
      <c r="Y20" s="21">
        <v>0.12</v>
      </c>
      <c r="Z20" s="21">
        <v>0.04</v>
      </c>
      <c r="AA20" s="21">
        <v>0.25</v>
      </c>
      <c r="AB20" s="21">
        <v>0.21</v>
      </c>
      <c r="AC20" s="21">
        <v>0.12</v>
      </c>
      <c r="AD20" s="21">
        <v>0.04</v>
      </c>
      <c r="AE20" s="21">
        <v>3.91</v>
      </c>
      <c r="AF20" s="21">
        <v>0.46</v>
      </c>
      <c r="AG20" s="21">
        <v>9.1999999999999993</v>
      </c>
      <c r="AH20" s="18" t="s">
        <v>17</v>
      </c>
      <c r="AI20" s="13" t="str">
        <f>VLOOKUP(AH20,'Hess and Brezowsky'!$B$2:$G$31,2,FALSE)</f>
        <v>Meridional</v>
      </c>
      <c r="AJ20" s="18" t="str">
        <f>VLOOKUP(AH20,'Hess and Brezowsky'!$B$2:$G$31,3,FALSE)</f>
        <v>C</v>
      </c>
      <c r="AK20" s="13" t="str">
        <f>VLOOKUP(AH20,'Hess and Brezowsky'!$B$2:$G$31,4,FALSE)</f>
        <v>Scandinavian High, Trough Central Europe</v>
      </c>
      <c r="AL20" s="29">
        <v>0.16010416666666666</v>
      </c>
      <c r="AM20" s="29">
        <v>0.4965162037037037</v>
      </c>
      <c r="AN20" s="30">
        <v>0.83291666666666664</v>
      </c>
    </row>
    <row r="21" spans="1:40" ht="15.75" customHeight="1" x14ac:dyDescent="0.2">
      <c r="A21" s="27">
        <v>44741</v>
      </c>
      <c r="B21" s="13">
        <v>2022</v>
      </c>
      <c r="C21" s="13">
        <v>180</v>
      </c>
      <c r="D21" s="13">
        <f t="shared" si="0"/>
        <v>4</v>
      </c>
      <c r="E21" s="13"/>
      <c r="F21" s="13">
        <f t="shared" si="1"/>
        <v>3</v>
      </c>
      <c r="G21" s="14">
        <v>1</v>
      </c>
      <c r="H21" s="14">
        <v>0</v>
      </c>
      <c r="I21" s="14">
        <v>1</v>
      </c>
      <c r="J21" s="14">
        <v>0</v>
      </c>
      <c r="K21" s="14">
        <v>0</v>
      </c>
      <c r="L21" s="14">
        <v>1</v>
      </c>
      <c r="M21" s="15">
        <v>256.49400000000003</v>
      </c>
      <c r="N21" s="16" t="str">
        <f t="shared" si="2"/>
        <v>W</v>
      </c>
      <c r="O21" s="17">
        <v>4.9000000000000004</v>
      </c>
      <c r="P21" s="16" t="s">
        <v>137</v>
      </c>
      <c r="Q21" s="18">
        <v>0</v>
      </c>
      <c r="R21" s="19">
        <v>21.18</v>
      </c>
      <c r="S21" s="19">
        <v>15.4</v>
      </c>
      <c r="T21" s="19">
        <v>27.3</v>
      </c>
      <c r="U21" s="20">
        <v>255.14</v>
      </c>
      <c r="V21" s="16" t="s">
        <v>16</v>
      </c>
      <c r="W21" s="21">
        <v>0.04</v>
      </c>
      <c r="X21" s="21">
        <v>0</v>
      </c>
      <c r="Y21" s="21">
        <v>0</v>
      </c>
      <c r="Z21" s="21">
        <v>0</v>
      </c>
      <c r="AA21" s="21">
        <v>0.04</v>
      </c>
      <c r="AB21" s="21">
        <v>0.5</v>
      </c>
      <c r="AC21" s="21">
        <v>0.33</v>
      </c>
      <c r="AD21" s="21">
        <v>0.08</v>
      </c>
      <c r="AE21" s="21">
        <v>3.89</v>
      </c>
      <c r="AF21" s="21">
        <v>3.23</v>
      </c>
      <c r="AG21" s="21">
        <v>9.1</v>
      </c>
      <c r="AH21" s="18" t="s">
        <v>17</v>
      </c>
      <c r="AI21" s="13" t="str">
        <f>VLOOKUP(AH21,'Hess and Brezowsky'!$B$2:$G$31,2,FALSE)</f>
        <v>Meridional</v>
      </c>
      <c r="AJ21" s="18" t="str">
        <f>VLOOKUP(AH21,'Hess and Brezowsky'!$B$2:$G$31,3,FALSE)</f>
        <v>C</v>
      </c>
      <c r="AK21" s="13" t="str">
        <f>VLOOKUP(AH21,'Hess and Brezowsky'!$B$2:$G$31,4,FALSE)</f>
        <v>Scandinavian High, Trough Central Europe</v>
      </c>
      <c r="AL21" s="29">
        <v>0.16046296296296297</v>
      </c>
      <c r="AM21" s="29">
        <v>0.49664351851851851</v>
      </c>
      <c r="AN21" s="30">
        <v>0.83283564814814814</v>
      </c>
    </row>
    <row r="22" spans="1:40" ht="15.75" customHeight="1" x14ac:dyDescent="0.2">
      <c r="A22" s="27">
        <v>44742</v>
      </c>
      <c r="B22" s="13">
        <v>2022</v>
      </c>
      <c r="C22" s="13">
        <v>181</v>
      </c>
      <c r="D22" s="13">
        <f t="shared" si="0"/>
        <v>5</v>
      </c>
      <c r="E22" s="13"/>
      <c r="F22" s="13">
        <f t="shared" si="1"/>
        <v>3</v>
      </c>
      <c r="G22" s="14">
        <v>1</v>
      </c>
      <c r="H22" s="14">
        <v>0</v>
      </c>
      <c r="I22" s="14">
        <v>1</v>
      </c>
      <c r="J22" s="14">
        <v>0</v>
      </c>
      <c r="K22" s="14">
        <v>0</v>
      </c>
      <c r="L22" s="14">
        <v>1</v>
      </c>
      <c r="M22" s="15">
        <v>230.31800000000001</v>
      </c>
      <c r="N22" s="16" t="str">
        <f t="shared" si="2"/>
        <v>SW</v>
      </c>
      <c r="O22" s="17">
        <v>4.4000000000000004</v>
      </c>
      <c r="P22" s="16" t="s">
        <v>140</v>
      </c>
      <c r="Q22" s="18">
        <v>11.7</v>
      </c>
      <c r="R22" s="19">
        <v>15.33</v>
      </c>
      <c r="S22" s="19">
        <v>12.8</v>
      </c>
      <c r="T22" s="19">
        <v>18.5</v>
      </c>
      <c r="U22" s="20">
        <v>230.05</v>
      </c>
      <c r="V22" s="16" t="s">
        <v>5</v>
      </c>
      <c r="W22" s="21">
        <v>0</v>
      </c>
      <c r="X22" s="21">
        <v>0</v>
      </c>
      <c r="Y22" s="21">
        <v>0</v>
      </c>
      <c r="Z22" s="21">
        <v>0</v>
      </c>
      <c r="AA22" s="21">
        <v>0.21</v>
      </c>
      <c r="AB22" s="21">
        <v>0.46</v>
      </c>
      <c r="AC22" s="21">
        <v>0.33</v>
      </c>
      <c r="AD22" s="21">
        <v>0</v>
      </c>
      <c r="AE22" s="21">
        <v>3.48</v>
      </c>
      <c r="AF22" s="21">
        <v>2.85</v>
      </c>
      <c r="AG22" s="21">
        <v>8.1</v>
      </c>
      <c r="AH22" s="18" t="s">
        <v>17</v>
      </c>
      <c r="AI22" s="13" t="str">
        <f>VLOOKUP(AH22,'Hess and Brezowsky'!$B$2:$G$31,2,FALSE)</f>
        <v>Meridional</v>
      </c>
      <c r="AJ22" s="18" t="str">
        <f>VLOOKUP(AH22,'Hess and Brezowsky'!$B$2:$G$31,3,FALSE)</f>
        <v>C</v>
      </c>
      <c r="AK22" s="13" t="str">
        <f>VLOOKUP(AH22,'Hess and Brezowsky'!$B$2:$G$31,4,FALSE)</f>
        <v>Scandinavian High, Trough Central Europe</v>
      </c>
      <c r="AL22" s="29">
        <v>0.16083333333333333</v>
      </c>
      <c r="AM22" s="29">
        <v>0.49677083333333333</v>
      </c>
      <c r="AN22" s="30">
        <v>0.83271990740740742</v>
      </c>
    </row>
    <row r="23" spans="1:40" ht="15.75" customHeight="1" x14ac:dyDescent="0.2">
      <c r="A23" s="27">
        <v>44743</v>
      </c>
      <c r="B23" s="13">
        <v>2022</v>
      </c>
      <c r="C23" s="13">
        <v>182</v>
      </c>
      <c r="D23" s="13">
        <f t="shared" si="0"/>
        <v>6</v>
      </c>
      <c r="E23" s="13"/>
      <c r="F23" s="13">
        <f t="shared" si="1"/>
        <v>3</v>
      </c>
      <c r="G23" s="14">
        <v>1</v>
      </c>
      <c r="H23" s="14">
        <v>0</v>
      </c>
      <c r="I23" s="14">
        <v>1</v>
      </c>
      <c r="J23" s="14">
        <v>0</v>
      </c>
      <c r="K23" s="14">
        <v>0</v>
      </c>
      <c r="L23" s="14">
        <v>1</v>
      </c>
      <c r="M23" s="15">
        <v>257.03100000000001</v>
      </c>
      <c r="N23" s="16" t="str">
        <f t="shared" si="2"/>
        <v>W</v>
      </c>
      <c r="O23" s="17">
        <v>4.8</v>
      </c>
      <c r="P23" s="16" t="s">
        <v>137</v>
      </c>
      <c r="Q23" s="18">
        <v>0.2</v>
      </c>
      <c r="R23" s="19">
        <v>17.079999999999998</v>
      </c>
      <c r="S23" s="19">
        <v>11.7</v>
      </c>
      <c r="T23" s="19">
        <v>22.2</v>
      </c>
      <c r="U23" s="20">
        <v>258.06</v>
      </c>
      <c r="V23" s="16" t="s">
        <v>16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0.28999999999999998</v>
      </c>
      <c r="AC23" s="21">
        <v>0.71</v>
      </c>
      <c r="AD23" s="21">
        <v>0</v>
      </c>
      <c r="AE23" s="21">
        <v>4.5599999999999996</v>
      </c>
      <c r="AF23" s="21">
        <v>4.34</v>
      </c>
      <c r="AG23" s="21">
        <v>8.3000000000000007</v>
      </c>
      <c r="AH23" s="18" t="s">
        <v>17</v>
      </c>
      <c r="AI23" s="13" t="str">
        <f>VLOOKUP(AH23,'Hess and Brezowsky'!$B$2:$G$31,2,FALSE)</f>
        <v>Meridional</v>
      </c>
      <c r="AJ23" s="18" t="str">
        <f>VLOOKUP(AH23,'Hess and Brezowsky'!$B$2:$G$31,3,FALSE)</f>
        <v>C</v>
      </c>
      <c r="AK23" s="13" t="str">
        <f>VLOOKUP(AH23,'Hess and Brezowsky'!$B$2:$G$31,4,FALSE)</f>
        <v>Scandinavian High, Trough Central Europe</v>
      </c>
      <c r="AL23" s="29">
        <v>0.16123842592592594</v>
      </c>
      <c r="AM23" s="29">
        <v>0.49689814814814814</v>
      </c>
      <c r="AN23" s="30">
        <v>0.83256944444444447</v>
      </c>
    </row>
    <row r="24" spans="1:40" ht="15.75" customHeight="1" x14ac:dyDescent="0.2">
      <c r="A24" s="27">
        <v>44744</v>
      </c>
      <c r="B24" s="13">
        <v>2022</v>
      </c>
      <c r="C24" s="13">
        <v>183</v>
      </c>
      <c r="D24" s="13">
        <f t="shared" si="0"/>
        <v>7</v>
      </c>
      <c r="E24" s="13"/>
      <c r="F24" s="13">
        <f t="shared" si="1"/>
        <v>3</v>
      </c>
      <c r="G24" s="14">
        <v>1</v>
      </c>
      <c r="H24" s="14">
        <v>0</v>
      </c>
      <c r="I24" s="14">
        <v>1</v>
      </c>
      <c r="J24" s="14">
        <v>0</v>
      </c>
      <c r="K24" s="14">
        <v>0</v>
      </c>
      <c r="L24" s="14">
        <v>1</v>
      </c>
      <c r="M24" s="15">
        <v>214.572</v>
      </c>
      <c r="N24" s="16" t="str">
        <f t="shared" si="2"/>
        <v>SW</v>
      </c>
      <c r="O24" s="17">
        <v>4.3</v>
      </c>
      <c r="P24" s="16" t="s">
        <v>138</v>
      </c>
      <c r="Q24" s="18">
        <v>0</v>
      </c>
      <c r="R24" s="19">
        <v>20.81</v>
      </c>
      <c r="S24" s="19">
        <v>12</v>
      </c>
      <c r="T24" s="19">
        <v>27.5</v>
      </c>
      <c r="U24" s="20">
        <v>232.99</v>
      </c>
      <c r="V24" s="16" t="s">
        <v>5</v>
      </c>
      <c r="W24" s="21">
        <v>0.08</v>
      </c>
      <c r="X24" s="21">
        <v>0</v>
      </c>
      <c r="Y24" s="21">
        <v>0</v>
      </c>
      <c r="Z24" s="21">
        <v>0.04</v>
      </c>
      <c r="AA24" s="21">
        <v>0.46</v>
      </c>
      <c r="AB24" s="21">
        <v>0.17</v>
      </c>
      <c r="AC24" s="21">
        <v>0.08</v>
      </c>
      <c r="AD24" s="21">
        <v>0.17</v>
      </c>
      <c r="AE24" s="21">
        <v>3.28</v>
      </c>
      <c r="AF24" s="21">
        <v>1.0900000000000001</v>
      </c>
      <c r="AG24" s="21">
        <v>9.5</v>
      </c>
      <c r="AH24" s="18" t="s">
        <v>4</v>
      </c>
      <c r="AI24" s="13" t="str">
        <f>VLOOKUP(AH24,'Hess and Brezowsky'!$B$2:$G$31,2,FALSE)</f>
        <v>Mixed</v>
      </c>
      <c r="AJ24" s="18" t="str">
        <f>VLOOKUP(AH24,'Hess and Brezowsky'!$B$2:$G$31,3,FALSE)</f>
        <v>A</v>
      </c>
      <c r="AK24" s="13" t="str">
        <f>VLOOKUP(AH24,'Hess and Brezowsky'!$B$2:$G$31,4,FALSE)</f>
        <v>Zonal Ridge across Central Europe</v>
      </c>
      <c r="AL24" s="29">
        <v>0.16167824074074075</v>
      </c>
      <c r="AM24" s="29">
        <v>0.49702546296296296</v>
      </c>
      <c r="AN24" s="30">
        <v>0.8323842592592593</v>
      </c>
    </row>
    <row r="25" spans="1:40" ht="15.75" customHeight="1" x14ac:dyDescent="0.2">
      <c r="A25" s="27">
        <v>44745</v>
      </c>
      <c r="B25" s="13">
        <v>2022</v>
      </c>
      <c r="C25" s="13">
        <v>184</v>
      </c>
      <c r="D25" s="13">
        <f t="shared" si="0"/>
        <v>1</v>
      </c>
      <c r="E25" s="13"/>
      <c r="F25" s="13">
        <f t="shared" si="1"/>
        <v>3</v>
      </c>
      <c r="G25" s="14">
        <v>1</v>
      </c>
      <c r="H25" s="14">
        <v>0</v>
      </c>
      <c r="I25" s="14">
        <v>1</v>
      </c>
      <c r="J25" s="14">
        <v>0</v>
      </c>
      <c r="K25" s="14">
        <v>0</v>
      </c>
      <c r="L25" s="14">
        <v>1</v>
      </c>
      <c r="M25" s="15">
        <v>331.61700000000002</v>
      </c>
      <c r="N25" s="16" t="str">
        <f t="shared" si="2"/>
        <v>NW</v>
      </c>
      <c r="O25" s="17">
        <v>5.5</v>
      </c>
      <c r="P25" s="16" t="s">
        <v>137</v>
      </c>
      <c r="Q25" s="18">
        <v>0</v>
      </c>
      <c r="R25" s="19">
        <v>19.73</v>
      </c>
      <c r="S25" s="19">
        <v>15.2</v>
      </c>
      <c r="T25" s="19">
        <v>24.8</v>
      </c>
      <c r="U25" s="20">
        <v>320.01</v>
      </c>
      <c r="V25" s="16" t="s">
        <v>6</v>
      </c>
      <c r="W25" s="21">
        <v>0.21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0.21</v>
      </c>
      <c r="AD25" s="21">
        <v>0.57999999999999996</v>
      </c>
      <c r="AE25" s="21">
        <v>5.0999999999999996</v>
      </c>
      <c r="AF25" s="21">
        <v>4.63</v>
      </c>
      <c r="AG25" s="21">
        <v>7.9</v>
      </c>
      <c r="AH25" s="18" t="s">
        <v>4</v>
      </c>
      <c r="AI25" s="13" t="str">
        <f>VLOOKUP(AH25,'Hess and Brezowsky'!$B$2:$G$31,2,FALSE)</f>
        <v>Mixed</v>
      </c>
      <c r="AJ25" s="18" t="str">
        <f>VLOOKUP(AH25,'Hess and Brezowsky'!$B$2:$G$31,3,FALSE)</f>
        <v>A</v>
      </c>
      <c r="AK25" s="13" t="str">
        <f>VLOOKUP(AH25,'Hess and Brezowsky'!$B$2:$G$31,4,FALSE)</f>
        <v>Zonal Ridge across Central Europe</v>
      </c>
      <c r="AL25" s="29">
        <v>0.16212962962962962</v>
      </c>
      <c r="AM25" s="29">
        <v>0.49715277777777778</v>
      </c>
      <c r="AN25" s="30">
        <v>0.83216435185185189</v>
      </c>
    </row>
    <row r="26" spans="1:40" ht="15.75" customHeight="1" x14ac:dyDescent="0.2">
      <c r="A26" s="27">
        <v>44746</v>
      </c>
      <c r="B26" s="13">
        <v>2022</v>
      </c>
      <c r="C26" s="13">
        <v>185</v>
      </c>
      <c r="D26" s="13">
        <f t="shared" si="0"/>
        <v>2</v>
      </c>
      <c r="E26" s="13"/>
      <c r="F26" s="13">
        <f t="shared" si="1"/>
        <v>3</v>
      </c>
      <c r="G26" s="14">
        <v>1</v>
      </c>
      <c r="H26" s="14">
        <v>0</v>
      </c>
      <c r="I26" s="14">
        <v>1</v>
      </c>
      <c r="J26" s="14">
        <v>0</v>
      </c>
      <c r="K26" s="14">
        <v>0</v>
      </c>
      <c r="L26" s="14">
        <v>1</v>
      </c>
      <c r="M26" s="15">
        <v>331.98500000000001</v>
      </c>
      <c r="N26" s="16" t="str">
        <f t="shared" si="2"/>
        <v>NW</v>
      </c>
      <c r="O26" s="17">
        <v>5</v>
      </c>
      <c r="P26" s="16" t="s">
        <v>139</v>
      </c>
      <c r="Q26" s="18">
        <v>0</v>
      </c>
      <c r="R26" s="19">
        <v>20.149999999999999</v>
      </c>
      <c r="S26" s="19">
        <v>13.7</v>
      </c>
      <c r="T26" s="19">
        <v>26.7</v>
      </c>
      <c r="U26" s="20">
        <v>323.47000000000003</v>
      </c>
      <c r="V26" s="16" t="s">
        <v>6</v>
      </c>
      <c r="W26" s="21">
        <v>0.17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0.08</v>
      </c>
      <c r="AD26" s="21">
        <v>0.75</v>
      </c>
      <c r="AE26" s="21">
        <v>4.42</v>
      </c>
      <c r="AF26" s="21">
        <v>4.2300000000000004</v>
      </c>
      <c r="AG26" s="21">
        <v>9.8000000000000007</v>
      </c>
      <c r="AH26" s="18" t="s">
        <v>4</v>
      </c>
      <c r="AI26" s="13" t="str">
        <f>VLOOKUP(AH26,'Hess and Brezowsky'!$B$2:$G$31,2,FALSE)</f>
        <v>Mixed</v>
      </c>
      <c r="AJ26" s="18" t="str">
        <f>VLOOKUP(AH26,'Hess and Brezowsky'!$B$2:$G$31,3,FALSE)</f>
        <v>A</v>
      </c>
      <c r="AK26" s="13" t="str">
        <f>VLOOKUP(AH26,'Hess and Brezowsky'!$B$2:$G$31,4,FALSE)</f>
        <v>Zonal Ridge across Central Europe</v>
      </c>
      <c r="AL26" s="29">
        <v>0.16261574074074073</v>
      </c>
      <c r="AM26" s="29">
        <v>0.4972685185185185</v>
      </c>
      <c r="AN26" s="30">
        <v>0.8319212962962963</v>
      </c>
    </row>
    <row r="27" spans="1:40" ht="15.75" customHeight="1" x14ac:dyDescent="0.2">
      <c r="A27" s="27">
        <v>44747</v>
      </c>
      <c r="B27" s="13">
        <v>2022</v>
      </c>
      <c r="C27" s="13">
        <v>186</v>
      </c>
      <c r="D27" s="13">
        <f t="shared" si="0"/>
        <v>3</v>
      </c>
      <c r="E27" s="13"/>
      <c r="F27" s="13">
        <f t="shared" si="1"/>
        <v>3</v>
      </c>
      <c r="G27" s="14">
        <v>1</v>
      </c>
      <c r="H27" s="14">
        <v>0</v>
      </c>
      <c r="I27" s="14">
        <v>1</v>
      </c>
      <c r="J27" s="14">
        <v>0</v>
      </c>
      <c r="K27" s="14">
        <v>0</v>
      </c>
      <c r="L27" s="14">
        <v>1</v>
      </c>
      <c r="M27" s="15">
        <v>338.81299999999999</v>
      </c>
      <c r="N27" s="16" t="str">
        <f t="shared" si="2"/>
        <v>N</v>
      </c>
      <c r="O27" s="17">
        <v>5.9</v>
      </c>
      <c r="P27" s="16" t="s">
        <v>138</v>
      </c>
      <c r="Q27" s="18">
        <v>0</v>
      </c>
      <c r="R27" s="19">
        <v>19.809999999999999</v>
      </c>
      <c r="S27" s="19">
        <v>13.8</v>
      </c>
      <c r="T27" s="19">
        <v>26</v>
      </c>
      <c r="U27" s="20">
        <v>331.14</v>
      </c>
      <c r="V27" s="16" t="s">
        <v>6</v>
      </c>
      <c r="W27" s="21">
        <v>0.25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0.75</v>
      </c>
      <c r="AE27" s="21">
        <v>5.64</v>
      </c>
      <c r="AF27" s="21">
        <v>5.42</v>
      </c>
      <c r="AG27" s="21">
        <v>9.5</v>
      </c>
      <c r="AH27" s="18" t="s">
        <v>4</v>
      </c>
      <c r="AI27" s="13" t="str">
        <f>VLOOKUP(AH27,'Hess and Brezowsky'!$B$2:$G$31,2,FALSE)</f>
        <v>Mixed</v>
      </c>
      <c r="AJ27" s="18" t="str">
        <f>VLOOKUP(AH27,'Hess and Brezowsky'!$B$2:$G$31,3,FALSE)</f>
        <v>A</v>
      </c>
      <c r="AK27" s="13" t="str">
        <f>VLOOKUP(AH27,'Hess and Brezowsky'!$B$2:$G$31,4,FALSE)</f>
        <v>Zonal Ridge across Central Europe</v>
      </c>
      <c r="AL27" s="29">
        <v>0.16312499999999999</v>
      </c>
      <c r="AM27" s="29">
        <v>0.49738425925925928</v>
      </c>
      <c r="AN27" s="30">
        <v>0.83164351851851848</v>
      </c>
    </row>
    <row r="28" spans="1:40" ht="15.75" customHeight="1" x14ac:dyDescent="0.2">
      <c r="A28" s="27">
        <v>44748</v>
      </c>
      <c r="B28" s="13">
        <v>2022</v>
      </c>
      <c r="C28" s="13">
        <v>187</v>
      </c>
      <c r="D28" s="13">
        <f t="shared" si="0"/>
        <v>4</v>
      </c>
      <c r="E28" s="13"/>
      <c r="F28" s="13">
        <f t="shared" si="1"/>
        <v>3</v>
      </c>
      <c r="G28" s="14">
        <v>1</v>
      </c>
      <c r="H28" s="14">
        <v>0</v>
      </c>
      <c r="I28" s="14">
        <v>1</v>
      </c>
      <c r="J28" s="14">
        <v>0</v>
      </c>
      <c r="K28" s="14">
        <v>0</v>
      </c>
      <c r="L28" s="14">
        <v>1</v>
      </c>
      <c r="M28" s="15">
        <v>345.60599999999999</v>
      </c>
      <c r="N28" s="16" t="str">
        <f t="shared" si="2"/>
        <v>N</v>
      </c>
      <c r="O28" s="17">
        <v>5.5</v>
      </c>
      <c r="P28" s="16" t="s">
        <v>137</v>
      </c>
      <c r="Q28" s="18">
        <v>0</v>
      </c>
      <c r="R28" s="19">
        <v>20.65</v>
      </c>
      <c r="S28" s="19">
        <v>14.4</v>
      </c>
      <c r="T28" s="19">
        <v>26.6</v>
      </c>
      <c r="U28" s="20">
        <v>333.25</v>
      </c>
      <c r="V28" s="16" t="s">
        <v>6</v>
      </c>
      <c r="W28" s="21">
        <v>0.12</v>
      </c>
      <c r="X28" s="21">
        <v>0.12</v>
      </c>
      <c r="Y28" s="21">
        <v>0.08</v>
      </c>
      <c r="Z28" s="21">
        <v>0</v>
      </c>
      <c r="AA28" s="21">
        <v>0</v>
      </c>
      <c r="AB28" s="21">
        <v>0</v>
      </c>
      <c r="AC28" s="21">
        <v>0</v>
      </c>
      <c r="AD28" s="21">
        <v>0.67</v>
      </c>
      <c r="AE28" s="21">
        <v>5.13</v>
      </c>
      <c r="AF28" s="21">
        <v>4.3600000000000003</v>
      </c>
      <c r="AG28" s="21">
        <v>10.199999999999999</v>
      </c>
      <c r="AH28" s="18" t="s">
        <v>18</v>
      </c>
      <c r="AI28" s="13" t="str">
        <f>VLOOKUP(AH28,'Hess and Brezowsky'!$B$2:$G$31,2,FALSE)</f>
        <v>Meridional</v>
      </c>
      <c r="AJ28" s="18" t="str">
        <f>VLOOKUP(AH28,'Hess and Brezowsky'!$B$2:$G$31,3,FALSE)</f>
        <v>C</v>
      </c>
      <c r="AK28" s="13" t="str">
        <f>VLOOKUP(AH28,'Hess and Brezowsky'!$B$2:$G$31,4,FALSE)</f>
        <v>Cyclonic Northerly</v>
      </c>
      <c r="AL28" s="29">
        <v>0.16365740740740742</v>
      </c>
      <c r="AM28" s="29">
        <v>0.4975</v>
      </c>
      <c r="AN28" s="30">
        <v>0.83134259259259258</v>
      </c>
    </row>
    <row r="29" spans="1:40" ht="15.75" customHeight="1" x14ac:dyDescent="0.2">
      <c r="A29" s="27">
        <v>44749</v>
      </c>
      <c r="B29" s="13">
        <v>2022</v>
      </c>
      <c r="C29" s="13">
        <v>188</v>
      </c>
      <c r="D29" s="13">
        <f t="shared" si="0"/>
        <v>5</v>
      </c>
      <c r="E29" s="13"/>
      <c r="F29" s="13">
        <f t="shared" si="1"/>
        <v>3</v>
      </c>
      <c r="G29" s="14">
        <v>0.95</v>
      </c>
      <c r="H29" s="14">
        <v>0</v>
      </c>
      <c r="I29" s="14">
        <v>1</v>
      </c>
      <c r="J29" s="14">
        <v>0</v>
      </c>
      <c r="K29" s="14">
        <v>0</v>
      </c>
      <c r="L29" s="14">
        <v>1</v>
      </c>
      <c r="M29" s="15">
        <v>346.42399999999998</v>
      </c>
      <c r="N29" s="16" t="str">
        <f t="shared" si="2"/>
        <v>N</v>
      </c>
      <c r="O29" s="17">
        <v>7.6</v>
      </c>
      <c r="P29" s="16" t="s">
        <v>137</v>
      </c>
      <c r="Q29" s="18">
        <v>0</v>
      </c>
      <c r="R29" s="19">
        <v>18.98</v>
      </c>
      <c r="S29" s="19">
        <v>16</v>
      </c>
      <c r="T29" s="19">
        <v>21.7</v>
      </c>
      <c r="U29" s="20">
        <v>337.84</v>
      </c>
      <c r="V29" s="16" t="s">
        <v>7</v>
      </c>
      <c r="W29" s="21">
        <v>0.46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0.54</v>
      </c>
      <c r="AE29" s="21">
        <v>7.71</v>
      </c>
      <c r="AF29" s="21">
        <v>6.96</v>
      </c>
      <c r="AG29" s="21">
        <v>11.7</v>
      </c>
      <c r="AH29" s="18" t="s">
        <v>18</v>
      </c>
      <c r="AI29" s="13" t="str">
        <f>VLOOKUP(AH29,'Hess and Brezowsky'!$B$2:$G$31,2,FALSE)</f>
        <v>Meridional</v>
      </c>
      <c r="AJ29" s="18" t="str">
        <f>VLOOKUP(AH29,'Hess and Brezowsky'!$B$2:$G$31,3,FALSE)</f>
        <v>C</v>
      </c>
      <c r="AK29" s="13" t="str">
        <f>VLOOKUP(AH29,'Hess and Brezowsky'!$B$2:$G$31,4,FALSE)</f>
        <v>Cyclonic Northerly</v>
      </c>
      <c r="AL29" s="29">
        <v>0.16421296296296295</v>
      </c>
      <c r="AM29" s="29">
        <v>0.49761574074074072</v>
      </c>
      <c r="AN29" s="30">
        <v>0.83100694444444445</v>
      </c>
    </row>
    <row r="30" spans="1:40" ht="15.75" customHeight="1" x14ac:dyDescent="0.2">
      <c r="A30" s="27">
        <v>44750</v>
      </c>
      <c r="B30" s="13">
        <v>2022</v>
      </c>
      <c r="C30" s="13">
        <v>189</v>
      </c>
      <c r="D30" s="13">
        <f t="shared" si="0"/>
        <v>6</v>
      </c>
      <c r="E30" s="13"/>
      <c r="F30" s="13">
        <f t="shared" si="1"/>
        <v>3</v>
      </c>
      <c r="G30" s="14">
        <v>1</v>
      </c>
      <c r="H30" s="14">
        <v>0</v>
      </c>
      <c r="I30" s="14">
        <v>1</v>
      </c>
      <c r="J30" s="14">
        <v>0</v>
      </c>
      <c r="K30" s="14">
        <v>0</v>
      </c>
      <c r="L30" s="14">
        <v>1</v>
      </c>
      <c r="M30" s="15">
        <v>34.783999999999999</v>
      </c>
      <c r="N30" s="16" t="str">
        <f t="shared" si="2"/>
        <v>NE</v>
      </c>
      <c r="O30" s="17">
        <v>5.8</v>
      </c>
      <c r="P30" s="16" t="s">
        <v>139</v>
      </c>
      <c r="Q30" s="18">
        <v>0</v>
      </c>
      <c r="R30" s="19">
        <v>20.73</v>
      </c>
      <c r="S30" s="19">
        <v>12.9</v>
      </c>
      <c r="T30" s="19">
        <v>27.8</v>
      </c>
      <c r="U30" s="20">
        <v>27.86</v>
      </c>
      <c r="V30" s="16" t="s">
        <v>10</v>
      </c>
      <c r="W30" s="21">
        <v>0.46</v>
      </c>
      <c r="X30" s="21">
        <v>0.54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5.41</v>
      </c>
      <c r="AF30" s="21">
        <v>5.12</v>
      </c>
      <c r="AG30" s="21">
        <v>10.199999999999999</v>
      </c>
      <c r="AH30" s="18" t="s">
        <v>18</v>
      </c>
      <c r="AI30" s="13" t="str">
        <f>VLOOKUP(AH30,'Hess and Brezowsky'!$B$2:$G$31,2,FALSE)</f>
        <v>Meridional</v>
      </c>
      <c r="AJ30" s="18" t="str">
        <f>VLOOKUP(AH30,'Hess and Brezowsky'!$B$2:$G$31,3,FALSE)</f>
        <v>C</v>
      </c>
      <c r="AK30" s="13" t="str">
        <f>VLOOKUP(AH30,'Hess and Brezowsky'!$B$2:$G$31,4,FALSE)</f>
        <v>Cyclonic Northerly</v>
      </c>
      <c r="AL30" s="29">
        <v>0.16480324074074074</v>
      </c>
      <c r="AM30" s="29">
        <v>0.4977199074074074</v>
      </c>
      <c r="AN30" s="30">
        <v>0.8306365740740741</v>
      </c>
    </row>
    <row r="31" spans="1:40" ht="15.75" customHeight="1" x14ac:dyDescent="0.2">
      <c r="A31" s="27">
        <v>44751</v>
      </c>
      <c r="B31" s="13">
        <v>2022</v>
      </c>
      <c r="C31" s="13">
        <v>190</v>
      </c>
      <c r="D31" s="13">
        <f t="shared" si="0"/>
        <v>7</v>
      </c>
      <c r="E31" s="13"/>
      <c r="F31" s="13">
        <f t="shared" si="1"/>
        <v>3</v>
      </c>
      <c r="G31" s="14">
        <v>1</v>
      </c>
      <c r="H31" s="14">
        <v>0</v>
      </c>
      <c r="I31" s="14">
        <v>1</v>
      </c>
      <c r="J31" s="14">
        <v>0</v>
      </c>
      <c r="K31" s="14">
        <v>0</v>
      </c>
      <c r="L31" s="14">
        <v>1</v>
      </c>
      <c r="M31" s="15">
        <v>20.074000000000002</v>
      </c>
      <c r="N31" s="16" t="str">
        <f t="shared" si="2"/>
        <v>N</v>
      </c>
      <c r="O31" s="17">
        <v>5.9</v>
      </c>
      <c r="P31" s="16" t="s">
        <v>137</v>
      </c>
      <c r="Q31" s="18">
        <v>0</v>
      </c>
      <c r="R31" s="19">
        <v>23.01</v>
      </c>
      <c r="S31" s="19">
        <v>17.399999999999999</v>
      </c>
      <c r="T31" s="19">
        <v>29.9</v>
      </c>
      <c r="U31" s="20">
        <v>14.66</v>
      </c>
      <c r="V31" s="16" t="s">
        <v>7</v>
      </c>
      <c r="W31" s="21">
        <v>0.62</v>
      </c>
      <c r="X31" s="21">
        <v>0.33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0.04</v>
      </c>
      <c r="AE31" s="21">
        <v>5.45</v>
      </c>
      <c r="AF31" s="21">
        <v>5.13</v>
      </c>
      <c r="AG31" s="21">
        <v>11.4</v>
      </c>
      <c r="AH31" s="18" t="s">
        <v>19</v>
      </c>
      <c r="AI31" s="13" t="str">
        <f>VLOOKUP(AH31,'Hess and Brezowsky'!$B$2:$G$31,2,FALSE)</f>
        <v>Meridional</v>
      </c>
      <c r="AJ31" s="18" t="str">
        <f>VLOOKUP(AH31,'Hess and Brezowsky'!$B$2:$G$31,3,FALSE)</f>
        <v>A</v>
      </c>
      <c r="AK31" s="13" t="str">
        <f>VLOOKUP(AH31,'Hess and Brezowsky'!$B$2:$G$31,4,FALSE)</f>
        <v>Anticyclonic Northerly</v>
      </c>
      <c r="AL31" s="29">
        <v>0.16540509259259259</v>
      </c>
      <c r="AM31" s="29">
        <v>0.49782407407407409</v>
      </c>
      <c r="AN31" s="30">
        <v>0.83023148148148151</v>
      </c>
    </row>
    <row r="32" spans="1:40" ht="15.75" customHeight="1" x14ac:dyDescent="0.2">
      <c r="A32" s="27">
        <v>44752</v>
      </c>
      <c r="B32" s="13">
        <v>2022</v>
      </c>
      <c r="C32" s="13">
        <v>191</v>
      </c>
      <c r="D32" s="13">
        <f t="shared" si="0"/>
        <v>1</v>
      </c>
      <c r="E32" s="13"/>
      <c r="F32" s="13">
        <f t="shared" si="1"/>
        <v>3</v>
      </c>
      <c r="G32" s="14">
        <v>1</v>
      </c>
      <c r="H32" s="14">
        <v>0</v>
      </c>
      <c r="I32" s="14">
        <v>1</v>
      </c>
      <c r="J32" s="14">
        <v>0</v>
      </c>
      <c r="K32" s="14">
        <v>0</v>
      </c>
      <c r="L32" s="14">
        <v>1</v>
      </c>
      <c r="M32" s="15">
        <v>51.176000000000002</v>
      </c>
      <c r="N32" s="16" t="str">
        <f t="shared" si="2"/>
        <v>NE</v>
      </c>
      <c r="O32" s="17">
        <v>7.7</v>
      </c>
      <c r="P32" s="16" t="s">
        <v>139</v>
      </c>
      <c r="Q32" s="18">
        <v>0</v>
      </c>
      <c r="R32" s="19">
        <v>21.63</v>
      </c>
      <c r="S32" s="19">
        <v>14.6</v>
      </c>
      <c r="T32" s="19">
        <v>28.3</v>
      </c>
      <c r="U32" s="20">
        <v>49.37</v>
      </c>
      <c r="V32" s="16" t="s">
        <v>10</v>
      </c>
      <c r="W32" s="21">
        <v>0</v>
      </c>
      <c r="X32" s="21">
        <v>0.92</v>
      </c>
      <c r="Y32" s="21">
        <v>0.08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6.97</v>
      </c>
      <c r="AF32" s="21">
        <v>6.78</v>
      </c>
      <c r="AG32" s="21">
        <v>10.4</v>
      </c>
      <c r="AH32" s="18" t="s">
        <v>19</v>
      </c>
      <c r="AI32" s="13" t="str">
        <f>VLOOKUP(AH32,'Hess and Brezowsky'!$B$2:$G$31,2,FALSE)</f>
        <v>Meridional</v>
      </c>
      <c r="AJ32" s="18" t="str">
        <f>VLOOKUP(AH32,'Hess and Brezowsky'!$B$2:$G$31,3,FALSE)</f>
        <v>A</v>
      </c>
      <c r="AK32" s="13" t="str">
        <f>VLOOKUP(AH32,'Hess and Brezowsky'!$B$2:$G$31,4,FALSE)</f>
        <v>Anticyclonic Northerly</v>
      </c>
      <c r="AL32" s="29">
        <v>0.1660300925925926</v>
      </c>
      <c r="AM32" s="29">
        <v>0.49791666666666667</v>
      </c>
      <c r="AN32" s="30">
        <v>0.82980324074074074</v>
      </c>
    </row>
    <row r="33" spans="1:40" ht="15.75" customHeight="1" x14ac:dyDescent="0.2">
      <c r="A33" s="27">
        <v>44753</v>
      </c>
      <c r="B33" s="13">
        <v>2022</v>
      </c>
      <c r="C33" s="13">
        <v>192</v>
      </c>
      <c r="D33" s="13">
        <f t="shared" si="0"/>
        <v>2</v>
      </c>
      <c r="E33" s="13"/>
      <c r="F33" s="13">
        <f t="shared" si="1"/>
        <v>3</v>
      </c>
      <c r="G33" s="14">
        <v>1</v>
      </c>
      <c r="H33" s="14">
        <v>0</v>
      </c>
      <c r="I33" s="14">
        <v>1</v>
      </c>
      <c r="J33" s="14">
        <v>0</v>
      </c>
      <c r="K33" s="14">
        <v>0</v>
      </c>
      <c r="L33" s="14">
        <v>1</v>
      </c>
      <c r="M33" s="15">
        <v>69.218000000000004</v>
      </c>
      <c r="N33" s="16" t="str">
        <f t="shared" si="2"/>
        <v>E</v>
      </c>
      <c r="O33" s="17">
        <v>7.1</v>
      </c>
      <c r="P33" s="16" t="s">
        <v>139</v>
      </c>
      <c r="Q33" s="18">
        <v>0</v>
      </c>
      <c r="R33" s="19">
        <v>24.71</v>
      </c>
      <c r="S33" s="19">
        <v>18.2</v>
      </c>
      <c r="T33" s="19">
        <v>30.8</v>
      </c>
      <c r="U33" s="20">
        <v>73.459999999999994</v>
      </c>
      <c r="V33" s="16" t="s">
        <v>9</v>
      </c>
      <c r="W33" s="21">
        <v>0</v>
      </c>
      <c r="X33" s="21">
        <v>0.46</v>
      </c>
      <c r="Y33" s="21">
        <v>0.54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7.09</v>
      </c>
      <c r="AF33" s="21">
        <v>6.96</v>
      </c>
      <c r="AG33" s="21">
        <v>10.5</v>
      </c>
      <c r="AH33" s="18" t="s">
        <v>19</v>
      </c>
      <c r="AI33" s="13" t="str">
        <f>VLOOKUP(AH33,'Hess and Brezowsky'!$B$2:$G$31,2,FALSE)</f>
        <v>Meridional</v>
      </c>
      <c r="AJ33" s="18" t="str">
        <f>VLOOKUP(AH33,'Hess and Brezowsky'!$B$2:$G$31,3,FALSE)</f>
        <v>A</v>
      </c>
      <c r="AK33" s="13" t="str">
        <f>VLOOKUP(AH33,'Hess and Brezowsky'!$B$2:$G$31,4,FALSE)</f>
        <v>Anticyclonic Northerly</v>
      </c>
      <c r="AL33" s="29">
        <v>0.16666666666666666</v>
      </c>
      <c r="AM33" s="29">
        <v>0.49800925925925926</v>
      </c>
      <c r="AN33" s="30">
        <v>0.8293518518518519</v>
      </c>
    </row>
    <row r="34" spans="1:40" ht="15.75" customHeight="1" x14ac:dyDescent="0.2">
      <c r="A34" s="27">
        <v>44754</v>
      </c>
      <c r="B34" s="13">
        <v>2022</v>
      </c>
      <c r="C34" s="13">
        <v>193</v>
      </c>
      <c r="D34" s="13">
        <f t="shared" si="0"/>
        <v>3</v>
      </c>
      <c r="E34" s="13"/>
      <c r="F34" s="13">
        <f t="shared" si="1"/>
        <v>3</v>
      </c>
      <c r="G34" s="14">
        <v>0.75</v>
      </c>
      <c r="H34" s="14">
        <v>0</v>
      </c>
      <c r="I34" s="14">
        <v>1</v>
      </c>
      <c r="J34" s="14">
        <v>0</v>
      </c>
      <c r="K34" s="14">
        <v>0</v>
      </c>
      <c r="L34" s="14">
        <v>0.87</v>
      </c>
      <c r="M34" s="15">
        <v>112.73</v>
      </c>
      <c r="N34" s="16" t="str">
        <f t="shared" si="2"/>
        <v>SE</v>
      </c>
      <c r="O34" s="17">
        <v>4.3</v>
      </c>
      <c r="P34" s="16" t="s">
        <v>138</v>
      </c>
      <c r="Q34" s="18">
        <v>0</v>
      </c>
      <c r="R34" s="19">
        <v>26.78</v>
      </c>
      <c r="S34" s="19">
        <v>19.2</v>
      </c>
      <c r="T34" s="19">
        <v>33.6</v>
      </c>
      <c r="U34" s="20">
        <v>113.65</v>
      </c>
      <c r="V34" s="16" t="s">
        <v>11</v>
      </c>
      <c r="W34" s="21">
        <v>0</v>
      </c>
      <c r="X34" s="21">
        <v>0.04</v>
      </c>
      <c r="Y34" s="21">
        <v>0.54</v>
      </c>
      <c r="Z34" s="21">
        <v>0.42</v>
      </c>
      <c r="AA34" s="21">
        <v>0</v>
      </c>
      <c r="AB34" s="21">
        <v>0</v>
      </c>
      <c r="AC34" s="21">
        <v>0</v>
      </c>
      <c r="AD34" s="21">
        <v>0</v>
      </c>
      <c r="AE34" s="21">
        <v>3.85</v>
      </c>
      <c r="AF34" s="21">
        <v>3.49</v>
      </c>
      <c r="AG34" s="21">
        <v>8.6</v>
      </c>
      <c r="AH34" s="18" t="s">
        <v>19</v>
      </c>
      <c r="AI34" s="13" t="str">
        <f>VLOOKUP(AH34,'Hess and Brezowsky'!$B$2:$G$31,2,FALSE)</f>
        <v>Meridional</v>
      </c>
      <c r="AJ34" s="18" t="str">
        <f>VLOOKUP(AH34,'Hess and Brezowsky'!$B$2:$G$31,3,FALSE)</f>
        <v>A</v>
      </c>
      <c r="AK34" s="13" t="str">
        <f>VLOOKUP(AH34,'Hess and Brezowsky'!$B$2:$G$31,4,FALSE)</f>
        <v>Anticyclonic Northerly</v>
      </c>
      <c r="AL34" s="29">
        <v>0.16733796296296297</v>
      </c>
      <c r="AM34" s="29">
        <v>0.49810185185185185</v>
      </c>
      <c r="AN34" s="30">
        <v>0.82886574074074071</v>
      </c>
    </row>
    <row r="35" spans="1:40" ht="15.75" customHeight="1" x14ac:dyDescent="0.2">
      <c r="A35" s="27">
        <v>44755</v>
      </c>
      <c r="B35" s="13">
        <v>2022</v>
      </c>
      <c r="C35" s="13">
        <v>194</v>
      </c>
      <c r="D35" s="13">
        <f t="shared" si="0"/>
        <v>4</v>
      </c>
      <c r="E35" s="13"/>
      <c r="F35" s="13">
        <f t="shared" si="1"/>
        <v>3</v>
      </c>
      <c r="G35" s="14">
        <v>0.7</v>
      </c>
      <c r="H35" s="14">
        <v>0</v>
      </c>
      <c r="I35" s="14">
        <v>1</v>
      </c>
      <c r="J35" s="14">
        <v>0</v>
      </c>
      <c r="K35" s="14">
        <v>0</v>
      </c>
      <c r="L35" s="14">
        <v>1</v>
      </c>
      <c r="M35" s="15">
        <v>239.501</v>
      </c>
      <c r="N35" s="16" t="str">
        <f t="shared" si="2"/>
        <v>SW</v>
      </c>
      <c r="O35" s="17">
        <v>4.9000000000000004</v>
      </c>
      <c r="P35" s="16" t="s">
        <v>138</v>
      </c>
      <c r="Q35" s="18">
        <v>0</v>
      </c>
      <c r="R35" s="19">
        <v>28.54</v>
      </c>
      <c r="S35" s="19">
        <v>21.2</v>
      </c>
      <c r="T35" s="19">
        <v>36.6</v>
      </c>
      <c r="U35" s="20">
        <v>240.46</v>
      </c>
      <c r="V35" s="16" t="s">
        <v>5</v>
      </c>
      <c r="W35" s="21">
        <v>0.25</v>
      </c>
      <c r="X35" s="21">
        <v>0</v>
      </c>
      <c r="Y35" s="21">
        <v>0</v>
      </c>
      <c r="Z35" s="21">
        <v>0.04</v>
      </c>
      <c r="AA35" s="21">
        <v>0.21</v>
      </c>
      <c r="AB35" s="21">
        <v>0.33</v>
      </c>
      <c r="AC35" s="21">
        <v>0.17</v>
      </c>
      <c r="AD35" s="21">
        <v>0</v>
      </c>
      <c r="AE35" s="21">
        <v>4.13</v>
      </c>
      <c r="AF35" s="21">
        <v>1.34</v>
      </c>
      <c r="AG35" s="21">
        <v>9.1999999999999993</v>
      </c>
      <c r="AH35" s="18" t="s">
        <v>20</v>
      </c>
      <c r="AI35" s="13" t="str">
        <f>VLOOKUP(AH35,'Hess and Brezowsky'!$B$2:$G$31,2,FALSE)</f>
        <v>Mixed</v>
      </c>
      <c r="AJ35" s="18" t="str">
        <f>VLOOKUP(AH35,'Hess and Brezowsky'!$B$2:$G$31,3,FALSE)</f>
        <v>A</v>
      </c>
      <c r="AK35" s="13" t="str">
        <f>VLOOKUP(AH35,'Hess and Brezowsky'!$B$2:$G$31,4,FALSE)</f>
        <v>Anticyclonic North-Westerly</v>
      </c>
      <c r="AL35" s="29">
        <v>0.16802083333333334</v>
      </c>
      <c r="AM35" s="29">
        <v>0.49818287037037035</v>
      </c>
      <c r="AN35" s="30">
        <v>0.8283449074074074</v>
      </c>
    </row>
    <row r="36" spans="1:40" ht="15.75" customHeight="1" x14ac:dyDescent="0.2">
      <c r="A36" s="27">
        <v>44756</v>
      </c>
      <c r="B36" s="13">
        <v>2022</v>
      </c>
      <c r="C36" s="13">
        <v>195</v>
      </c>
      <c r="D36" s="13">
        <f t="shared" si="0"/>
        <v>5</v>
      </c>
      <c r="E36" s="13"/>
      <c r="F36" s="13">
        <f t="shared" si="1"/>
        <v>3</v>
      </c>
      <c r="G36" s="14">
        <v>1</v>
      </c>
      <c r="H36" s="14">
        <v>0</v>
      </c>
      <c r="I36" s="14">
        <v>1</v>
      </c>
      <c r="J36" s="14">
        <v>0</v>
      </c>
      <c r="K36" s="14">
        <v>0</v>
      </c>
      <c r="L36" s="14">
        <v>1</v>
      </c>
      <c r="M36" s="15">
        <v>336.15899999999999</v>
      </c>
      <c r="N36" s="16" t="str">
        <f t="shared" si="2"/>
        <v>NW</v>
      </c>
      <c r="O36" s="17">
        <v>6.7</v>
      </c>
      <c r="P36" s="16" t="s">
        <v>138</v>
      </c>
      <c r="Q36" s="18">
        <v>0</v>
      </c>
      <c r="R36" s="19">
        <v>25.49</v>
      </c>
      <c r="S36" s="19">
        <v>19.8</v>
      </c>
      <c r="T36" s="19">
        <v>30.8</v>
      </c>
      <c r="U36" s="20">
        <v>325.61</v>
      </c>
      <c r="V36" s="16" t="s">
        <v>6</v>
      </c>
      <c r="W36" s="21">
        <v>0.17</v>
      </c>
      <c r="X36" s="21">
        <v>0.08</v>
      </c>
      <c r="Y36" s="21">
        <v>0</v>
      </c>
      <c r="Z36" s="21">
        <v>0</v>
      </c>
      <c r="AA36" s="21">
        <v>0</v>
      </c>
      <c r="AB36" s="21">
        <v>0</v>
      </c>
      <c r="AC36" s="21">
        <v>0.12</v>
      </c>
      <c r="AD36" s="21">
        <v>0.62</v>
      </c>
      <c r="AE36" s="21">
        <v>6.65</v>
      </c>
      <c r="AF36" s="21">
        <v>5.73</v>
      </c>
      <c r="AG36" s="21">
        <v>11.1</v>
      </c>
      <c r="AH36" s="18" t="s">
        <v>20</v>
      </c>
      <c r="AI36" s="13" t="str">
        <f>VLOOKUP(AH36,'Hess and Brezowsky'!$B$2:$G$31,2,FALSE)</f>
        <v>Mixed</v>
      </c>
      <c r="AJ36" s="18" t="str">
        <f>VLOOKUP(AH36,'Hess and Brezowsky'!$B$2:$G$31,3,FALSE)</f>
        <v>A</v>
      </c>
      <c r="AK36" s="13" t="str">
        <f>VLOOKUP(AH36,'Hess and Brezowsky'!$B$2:$G$31,4,FALSE)</f>
        <v>Anticyclonic North-Westerly</v>
      </c>
      <c r="AL36" s="29">
        <v>0.16872685185185185</v>
      </c>
      <c r="AM36" s="29">
        <v>0.4982638888888889</v>
      </c>
      <c r="AN36" s="30">
        <v>0.82780092592592591</v>
      </c>
    </row>
    <row r="37" spans="1:40" ht="15.75" customHeight="1" x14ac:dyDescent="0.2">
      <c r="A37" s="27">
        <v>44757</v>
      </c>
      <c r="B37" s="13">
        <v>2022</v>
      </c>
      <c r="C37" s="13">
        <v>196</v>
      </c>
      <c r="D37" s="13">
        <f t="shared" si="0"/>
        <v>6</v>
      </c>
      <c r="E37" s="13"/>
      <c r="F37" s="13">
        <f t="shared" si="1"/>
        <v>3</v>
      </c>
      <c r="G37" s="14">
        <v>1</v>
      </c>
      <c r="H37" s="14">
        <v>0</v>
      </c>
      <c r="I37" s="14">
        <v>1</v>
      </c>
      <c r="J37" s="14">
        <v>0</v>
      </c>
      <c r="K37" s="14">
        <v>0</v>
      </c>
      <c r="L37" s="14">
        <v>1</v>
      </c>
      <c r="M37" s="15">
        <v>34.567</v>
      </c>
      <c r="N37" s="16" t="str">
        <f t="shared" si="2"/>
        <v>NE</v>
      </c>
      <c r="O37" s="17">
        <v>6.2</v>
      </c>
      <c r="P37" s="16" t="s">
        <v>139</v>
      </c>
      <c r="Q37" s="18">
        <v>0</v>
      </c>
      <c r="R37" s="19">
        <v>22.06</v>
      </c>
      <c r="S37" s="19">
        <v>16.2</v>
      </c>
      <c r="T37" s="19">
        <v>27.4</v>
      </c>
      <c r="U37" s="20">
        <v>31.43</v>
      </c>
      <c r="V37" s="16" t="s">
        <v>10</v>
      </c>
      <c r="W37" s="21">
        <v>0.28999999999999998</v>
      </c>
      <c r="X37" s="21">
        <v>0.71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5.62</v>
      </c>
      <c r="AF37" s="21">
        <v>5.46</v>
      </c>
      <c r="AG37" s="21">
        <v>10</v>
      </c>
      <c r="AH37" s="18" t="s">
        <v>20</v>
      </c>
      <c r="AI37" s="13" t="str">
        <f>VLOOKUP(AH37,'Hess and Brezowsky'!$B$2:$G$31,2,FALSE)</f>
        <v>Mixed</v>
      </c>
      <c r="AJ37" s="18" t="str">
        <f>VLOOKUP(AH37,'Hess and Brezowsky'!$B$2:$G$31,3,FALSE)</f>
        <v>A</v>
      </c>
      <c r="AK37" s="13" t="str">
        <f>VLOOKUP(AH37,'Hess and Brezowsky'!$B$2:$G$31,4,FALSE)</f>
        <v>Anticyclonic North-Westerly</v>
      </c>
      <c r="AL37" s="29">
        <v>0.16944444444444445</v>
      </c>
      <c r="AM37" s="29">
        <v>0.49833333333333335</v>
      </c>
      <c r="AN37" s="30">
        <v>0.82722222222222219</v>
      </c>
    </row>
    <row r="38" spans="1:40" ht="15.75" customHeight="1" x14ac:dyDescent="0.2">
      <c r="A38" s="27">
        <v>44758</v>
      </c>
      <c r="B38" s="13">
        <v>2022</v>
      </c>
      <c r="C38" s="13">
        <v>197</v>
      </c>
      <c r="D38" s="13">
        <f t="shared" si="0"/>
        <v>7</v>
      </c>
      <c r="E38" s="13"/>
      <c r="F38" s="13">
        <f t="shared" si="1"/>
        <v>3</v>
      </c>
      <c r="G38" s="14">
        <v>1</v>
      </c>
      <c r="H38" s="14">
        <v>0</v>
      </c>
      <c r="I38" s="14">
        <v>1</v>
      </c>
      <c r="J38" s="14">
        <v>0</v>
      </c>
      <c r="K38" s="14">
        <v>0</v>
      </c>
      <c r="L38" s="14">
        <v>1</v>
      </c>
      <c r="M38" s="15">
        <v>46.292000000000002</v>
      </c>
      <c r="N38" s="16" t="str">
        <f t="shared" si="2"/>
        <v>NE</v>
      </c>
      <c r="O38" s="17">
        <v>5.7</v>
      </c>
      <c r="P38" s="16" t="s">
        <v>138</v>
      </c>
      <c r="Q38" s="18">
        <v>0</v>
      </c>
      <c r="R38" s="19">
        <v>23.32</v>
      </c>
      <c r="S38" s="19">
        <v>15.9</v>
      </c>
      <c r="T38" s="19">
        <v>29.7</v>
      </c>
      <c r="U38" s="20">
        <v>44.36</v>
      </c>
      <c r="V38" s="16" t="s">
        <v>10</v>
      </c>
      <c r="W38" s="21">
        <v>0.12</v>
      </c>
      <c r="X38" s="21">
        <v>0.88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5.22</v>
      </c>
      <c r="AF38" s="21">
        <v>5.05</v>
      </c>
      <c r="AG38" s="21">
        <v>12.2</v>
      </c>
      <c r="AH38" s="18" t="s">
        <v>8</v>
      </c>
      <c r="AI38" s="13" t="str">
        <f>VLOOKUP(AH38,'Hess and Brezowsky'!$B$2:$G$31,2,FALSE)</f>
        <v>Mixed</v>
      </c>
      <c r="AJ38" s="18" t="str">
        <f>VLOOKUP(AH38,'Hess and Brezowsky'!$B$2:$G$31,3,FALSE)</f>
        <v>A</v>
      </c>
      <c r="AK38" s="13" t="str">
        <f>VLOOKUP(AH38,'Hess and Brezowsky'!$B$2:$G$31,4,FALSE)</f>
        <v>High over Central Europe</v>
      </c>
      <c r="AL38" s="29">
        <v>0.17018518518518519</v>
      </c>
      <c r="AM38" s="29">
        <v>0.49840277777777775</v>
      </c>
      <c r="AN38" s="30">
        <v>0.82662037037037039</v>
      </c>
    </row>
    <row r="39" spans="1:40" ht="15.75" customHeight="1" x14ac:dyDescent="0.2">
      <c r="A39" s="27">
        <v>44759</v>
      </c>
      <c r="B39" s="13">
        <v>2022</v>
      </c>
      <c r="C39" s="13">
        <v>198</v>
      </c>
      <c r="D39" s="13">
        <f t="shared" si="0"/>
        <v>1</v>
      </c>
      <c r="E39" s="13"/>
      <c r="F39" s="13">
        <f t="shared" si="1"/>
        <v>3</v>
      </c>
      <c r="G39" s="14">
        <v>0.91</v>
      </c>
      <c r="H39" s="14">
        <v>0</v>
      </c>
      <c r="I39" s="14">
        <v>1</v>
      </c>
      <c r="J39" s="14">
        <v>0</v>
      </c>
      <c r="K39" s="14">
        <v>0</v>
      </c>
      <c r="L39" s="14">
        <v>1</v>
      </c>
      <c r="M39" s="15">
        <v>82.64</v>
      </c>
      <c r="N39" s="16" t="str">
        <f t="shared" si="2"/>
        <v>E</v>
      </c>
      <c r="O39" s="17">
        <v>6.2</v>
      </c>
      <c r="P39" s="16" t="s">
        <v>138</v>
      </c>
      <c r="Q39" s="18">
        <v>0</v>
      </c>
      <c r="R39" s="19">
        <v>25.48</v>
      </c>
      <c r="S39" s="19">
        <v>18</v>
      </c>
      <c r="T39" s="19">
        <v>32.700000000000003</v>
      </c>
      <c r="U39" s="20">
        <v>87.28</v>
      </c>
      <c r="V39" s="16" t="s">
        <v>9</v>
      </c>
      <c r="W39" s="21">
        <v>0</v>
      </c>
      <c r="X39" s="21">
        <v>0.08</v>
      </c>
      <c r="Y39" s="21">
        <v>0.88</v>
      </c>
      <c r="Z39" s="21">
        <v>0.04</v>
      </c>
      <c r="AA39" s="21">
        <v>0</v>
      </c>
      <c r="AB39" s="21">
        <v>0</v>
      </c>
      <c r="AC39" s="21">
        <v>0</v>
      </c>
      <c r="AD39" s="21">
        <v>0</v>
      </c>
      <c r="AE39" s="21">
        <v>5.91</v>
      </c>
      <c r="AF39" s="21">
        <v>5.69</v>
      </c>
      <c r="AG39" s="21">
        <v>10.7</v>
      </c>
      <c r="AH39" s="18" t="s">
        <v>8</v>
      </c>
      <c r="AI39" s="13" t="str">
        <f>VLOOKUP(AH39,'Hess and Brezowsky'!$B$2:$G$31,2,FALSE)</f>
        <v>Mixed</v>
      </c>
      <c r="AJ39" s="18" t="str">
        <f>VLOOKUP(AH39,'Hess and Brezowsky'!$B$2:$G$31,3,FALSE)</f>
        <v>A</v>
      </c>
      <c r="AK39" s="13" t="str">
        <f>VLOOKUP(AH39,'Hess and Brezowsky'!$B$2:$G$31,4,FALSE)</f>
        <v>High over Central Europe</v>
      </c>
      <c r="AL39" s="29">
        <v>0.17094907407407409</v>
      </c>
      <c r="AM39" s="29">
        <v>0.49847222222222221</v>
      </c>
      <c r="AN39" s="30">
        <v>0.82599537037037041</v>
      </c>
    </row>
    <row r="40" spans="1:40" ht="15.75" customHeight="1" x14ac:dyDescent="0.2">
      <c r="A40" s="27">
        <v>44760</v>
      </c>
      <c r="B40" s="13">
        <v>2022</v>
      </c>
      <c r="C40" s="13">
        <v>199</v>
      </c>
      <c r="D40" s="13">
        <f t="shared" si="0"/>
        <v>2</v>
      </c>
      <c r="E40" s="13"/>
      <c r="F40" s="13">
        <f t="shared" si="1"/>
        <v>3</v>
      </c>
      <c r="G40" s="14">
        <v>0.62</v>
      </c>
      <c r="H40" s="14">
        <v>0</v>
      </c>
      <c r="I40" s="14">
        <v>1</v>
      </c>
      <c r="J40" s="14">
        <v>0</v>
      </c>
      <c r="K40" s="14">
        <v>0</v>
      </c>
      <c r="L40" s="14">
        <v>0.87</v>
      </c>
      <c r="M40" s="15">
        <v>124.185</v>
      </c>
      <c r="N40" s="16" t="str">
        <f t="shared" si="2"/>
        <v>SE</v>
      </c>
      <c r="O40" s="17">
        <v>6</v>
      </c>
      <c r="P40" s="16" t="s">
        <v>139</v>
      </c>
      <c r="Q40" s="18">
        <v>0</v>
      </c>
      <c r="R40" s="19">
        <v>29.71</v>
      </c>
      <c r="S40" s="19">
        <v>20.2</v>
      </c>
      <c r="T40" s="19">
        <v>38.299999999999997</v>
      </c>
      <c r="U40" s="20">
        <v>129.80000000000001</v>
      </c>
      <c r="V40" s="16" t="s">
        <v>11</v>
      </c>
      <c r="W40" s="21">
        <v>0</v>
      </c>
      <c r="X40" s="21">
        <v>0</v>
      </c>
      <c r="Y40" s="21">
        <v>0.28999999999999998</v>
      </c>
      <c r="Z40" s="21">
        <v>0.67</v>
      </c>
      <c r="AA40" s="21">
        <v>0.04</v>
      </c>
      <c r="AB40" s="21">
        <v>0</v>
      </c>
      <c r="AC40" s="21">
        <v>0</v>
      </c>
      <c r="AD40" s="21">
        <v>0</v>
      </c>
      <c r="AE40" s="21">
        <v>6.18</v>
      </c>
      <c r="AF40" s="21">
        <v>5.84</v>
      </c>
      <c r="AG40" s="21">
        <v>11.4</v>
      </c>
      <c r="AH40" s="18" t="s">
        <v>8</v>
      </c>
      <c r="AI40" s="13" t="str">
        <f>VLOOKUP(AH40,'Hess and Brezowsky'!$B$2:$G$31,2,FALSE)</f>
        <v>Mixed</v>
      </c>
      <c r="AJ40" s="18" t="str">
        <f>VLOOKUP(AH40,'Hess and Brezowsky'!$B$2:$G$31,3,FALSE)</f>
        <v>A</v>
      </c>
      <c r="AK40" s="13" t="str">
        <f>VLOOKUP(AH40,'Hess and Brezowsky'!$B$2:$G$31,4,FALSE)</f>
        <v>High over Central Europe</v>
      </c>
      <c r="AL40" s="29">
        <v>0.17172453703703705</v>
      </c>
      <c r="AM40" s="29">
        <v>0.49853009259259257</v>
      </c>
      <c r="AN40" s="30">
        <v>0.82533564814814819</v>
      </c>
    </row>
    <row r="41" spans="1:40" ht="15.75" customHeight="1" x14ac:dyDescent="0.2">
      <c r="A41" s="27">
        <v>44761</v>
      </c>
      <c r="B41" s="13">
        <v>2022</v>
      </c>
      <c r="C41" s="13">
        <v>200</v>
      </c>
      <c r="D41" s="13">
        <f t="shared" si="0"/>
        <v>3</v>
      </c>
      <c r="E41" s="13"/>
      <c r="F41" s="13">
        <f t="shared" si="1"/>
        <v>3</v>
      </c>
      <c r="G41" s="14">
        <v>0.62</v>
      </c>
      <c r="H41" s="14">
        <v>0</v>
      </c>
      <c r="I41" s="14">
        <v>1</v>
      </c>
      <c r="J41" s="14">
        <v>0</v>
      </c>
      <c r="K41" s="14">
        <v>0</v>
      </c>
      <c r="L41" s="14">
        <v>0.95</v>
      </c>
      <c r="M41" s="15">
        <v>174.26300000000001</v>
      </c>
      <c r="N41" s="16" t="str">
        <f t="shared" si="2"/>
        <v>S</v>
      </c>
      <c r="O41" s="17">
        <v>9.1</v>
      </c>
      <c r="P41" s="16" t="s">
        <v>139</v>
      </c>
      <c r="Q41" s="18">
        <v>0</v>
      </c>
      <c r="R41" s="19">
        <v>31.31</v>
      </c>
      <c r="S41" s="19">
        <v>23.3</v>
      </c>
      <c r="T41" s="19">
        <v>40.4</v>
      </c>
      <c r="U41" s="20">
        <v>173.4</v>
      </c>
      <c r="V41" s="16" t="s">
        <v>13</v>
      </c>
      <c r="W41" s="21">
        <v>0</v>
      </c>
      <c r="X41" s="21">
        <v>0</v>
      </c>
      <c r="Y41" s="21">
        <v>0</v>
      </c>
      <c r="Z41" s="21">
        <v>0.5</v>
      </c>
      <c r="AA41" s="21">
        <v>0.17</v>
      </c>
      <c r="AB41" s="21">
        <v>0.12</v>
      </c>
      <c r="AC41" s="21">
        <v>0.21</v>
      </c>
      <c r="AD41" s="21">
        <v>0</v>
      </c>
      <c r="AE41" s="21">
        <v>9.99</v>
      </c>
      <c r="AF41" s="21">
        <v>6.66</v>
      </c>
      <c r="AG41" s="21">
        <v>14.9</v>
      </c>
      <c r="AH41" s="18" t="s">
        <v>21</v>
      </c>
      <c r="AI41" s="13" t="str">
        <f>VLOOKUP(AH41,'Hess and Brezowsky'!$B$2:$G$31,2,FALSE)</f>
        <v>Mixed</v>
      </c>
      <c r="AJ41" s="18" t="str">
        <f>VLOOKUP(AH41,'Hess and Brezowsky'!$B$2:$G$31,3,FALSE)</f>
        <v>A</v>
      </c>
      <c r="AK41" s="13" t="str">
        <f>VLOOKUP(AH41,'Hess and Brezowsky'!$B$2:$G$31,4,FALSE)</f>
        <v>Anticyclonic South-Westerly</v>
      </c>
      <c r="AL41" s="29">
        <v>0.17251157407407408</v>
      </c>
      <c r="AM41" s="29">
        <v>0.49858796296296298</v>
      </c>
      <c r="AN41" s="30">
        <v>0.82465277777777779</v>
      </c>
    </row>
    <row r="42" spans="1:40" ht="15.75" customHeight="1" x14ac:dyDescent="0.2">
      <c r="A42" s="27">
        <v>44762</v>
      </c>
      <c r="B42" s="13">
        <v>2022</v>
      </c>
      <c r="C42" s="13">
        <v>201</v>
      </c>
      <c r="D42" s="13">
        <f t="shared" si="0"/>
        <v>4</v>
      </c>
      <c r="E42" s="13"/>
      <c r="F42" s="13">
        <f t="shared" si="1"/>
        <v>3</v>
      </c>
      <c r="G42" s="14">
        <v>1</v>
      </c>
      <c r="H42" s="14">
        <v>0</v>
      </c>
      <c r="I42" s="14">
        <v>1</v>
      </c>
      <c r="J42" s="14">
        <v>0</v>
      </c>
      <c r="K42" s="14">
        <v>0</v>
      </c>
      <c r="L42" s="14">
        <v>1</v>
      </c>
      <c r="M42" s="15">
        <v>218.76</v>
      </c>
      <c r="N42" s="16" t="str">
        <f t="shared" si="2"/>
        <v>SW</v>
      </c>
      <c r="O42" s="17">
        <v>5.4</v>
      </c>
      <c r="P42" s="16" t="s">
        <v>137</v>
      </c>
      <c r="Q42" s="18">
        <v>7</v>
      </c>
      <c r="R42" s="19">
        <v>20.68</v>
      </c>
      <c r="S42" s="19">
        <v>17.7</v>
      </c>
      <c r="T42" s="19">
        <v>25.2</v>
      </c>
      <c r="U42" s="20">
        <v>220.04</v>
      </c>
      <c r="V42" s="16" t="s">
        <v>5</v>
      </c>
      <c r="W42" s="21">
        <v>0</v>
      </c>
      <c r="X42" s="21">
        <v>0</v>
      </c>
      <c r="Y42" s="21">
        <v>0</v>
      </c>
      <c r="Z42" s="21">
        <v>0</v>
      </c>
      <c r="AA42" s="21">
        <v>0.42</v>
      </c>
      <c r="AB42" s="21">
        <v>0.25</v>
      </c>
      <c r="AC42" s="21">
        <v>0.25</v>
      </c>
      <c r="AD42" s="21">
        <v>0.08</v>
      </c>
      <c r="AE42" s="21">
        <v>5.5</v>
      </c>
      <c r="AF42" s="21">
        <v>3.85</v>
      </c>
      <c r="AG42" s="21">
        <v>10.9</v>
      </c>
      <c r="AH42" s="18" t="s">
        <v>21</v>
      </c>
      <c r="AI42" s="13" t="str">
        <f>VLOOKUP(AH42,'Hess and Brezowsky'!$B$2:$G$31,2,FALSE)</f>
        <v>Mixed</v>
      </c>
      <c r="AJ42" s="18" t="str">
        <f>VLOOKUP(AH42,'Hess and Brezowsky'!$B$2:$G$31,3,FALSE)</f>
        <v>A</v>
      </c>
      <c r="AK42" s="13" t="str">
        <f>VLOOKUP(AH42,'Hess and Brezowsky'!$B$2:$G$31,4,FALSE)</f>
        <v>Anticyclonic South-Westerly</v>
      </c>
      <c r="AL42" s="29">
        <v>0.17331018518518518</v>
      </c>
      <c r="AM42" s="29">
        <v>0.49863425925925925</v>
      </c>
      <c r="AN42" s="30">
        <v>0.82394675925925931</v>
      </c>
    </row>
    <row r="43" spans="1:40" ht="15.75" customHeight="1" x14ac:dyDescent="0.2">
      <c r="A43" s="27">
        <v>44763</v>
      </c>
      <c r="B43" s="13">
        <v>2022</v>
      </c>
      <c r="C43" s="13">
        <v>202</v>
      </c>
      <c r="D43" s="13">
        <f t="shared" si="0"/>
        <v>5</v>
      </c>
      <c r="E43" s="13"/>
      <c r="F43" s="13">
        <f t="shared" si="1"/>
        <v>3</v>
      </c>
      <c r="G43" s="14">
        <v>1</v>
      </c>
      <c r="H43" s="14">
        <v>0</v>
      </c>
      <c r="I43" s="14">
        <v>1</v>
      </c>
      <c r="J43" s="14">
        <v>0</v>
      </c>
      <c r="K43" s="14">
        <v>0</v>
      </c>
      <c r="L43" s="14">
        <v>1</v>
      </c>
      <c r="M43" s="15">
        <v>330.60500000000002</v>
      </c>
      <c r="N43" s="16" t="str">
        <f t="shared" si="2"/>
        <v>NW</v>
      </c>
      <c r="O43" s="17">
        <v>5.0999999999999996</v>
      </c>
      <c r="P43" s="16" t="s">
        <v>137</v>
      </c>
      <c r="Q43" s="18">
        <v>0</v>
      </c>
      <c r="R43" s="19">
        <v>22.15</v>
      </c>
      <c r="S43" s="19">
        <v>18.2</v>
      </c>
      <c r="T43" s="19">
        <v>27.7</v>
      </c>
      <c r="U43" s="20">
        <v>319.77</v>
      </c>
      <c r="V43" s="16" t="s">
        <v>6</v>
      </c>
      <c r="W43" s="21">
        <v>0.08</v>
      </c>
      <c r="X43" s="21">
        <v>0.25</v>
      </c>
      <c r="Y43" s="21">
        <v>0</v>
      </c>
      <c r="Z43" s="21">
        <v>0</v>
      </c>
      <c r="AA43" s="21">
        <v>0</v>
      </c>
      <c r="AB43" s="21">
        <v>0</v>
      </c>
      <c r="AC43" s="21">
        <v>0.46</v>
      </c>
      <c r="AD43" s="21">
        <v>0.21</v>
      </c>
      <c r="AE43" s="21">
        <v>4.6399999999999997</v>
      </c>
      <c r="AF43" s="21">
        <v>2.5099999999999998</v>
      </c>
      <c r="AG43" s="21">
        <v>8.6999999999999993</v>
      </c>
      <c r="AH43" s="18" t="s">
        <v>21</v>
      </c>
      <c r="AI43" s="13" t="str">
        <f>VLOOKUP(AH43,'Hess and Brezowsky'!$B$2:$G$31,2,FALSE)</f>
        <v>Mixed</v>
      </c>
      <c r="AJ43" s="18" t="str">
        <f>VLOOKUP(AH43,'Hess and Brezowsky'!$B$2:$G$31,3,FALSE)</f>
        <v>A</v>
      </c>
      <c r="AK43" s="13" t="str">
        <f>VLOOKUP(AH43,'Hess and Brezowsky'!$B$2:$G$31,4,FALSE)</f>
        <v>Anticyclonic South-Westerly</v>
      </c>
      <c r="AL43" s="29">
        <v>0.17413194444444444</v>
      </c>
      <c r="AM43" s="29">
        <v>0.49866898148148148</v>
      </c>
      <c r="AN43" s="30">
        <v>0.82320601851851849</v>
      </c>
    </row>
    <row r="44" spans="1:40" ht="15.75" customHeight="1" x14ac:dyDescent="0.2">
      <c r="A44" s="27">
        <v>44764</v>
      </c>
      <c r="B44" s="13">
        <v>2022</v>
      </c>
      <c r="C44" s="13">
        <v>203</v>
      </c>
      <c r="D44" s="13">
        <f t="shared" si="0"/>
        <v>6</v>
      </c>
      <c r="E44" s="13"/>
      <c r="F44" s="13">
        <f t="shared" si="1"/>
        <v>3</v>
      </c>
      <c r="G44" s="14">
        <v>1</v>
      </c>
      <c r="H44" s="14">
        <v>0</v>
      </c>
      <c r="I44" s="14">
        <v>1</v>
      </c>
      <c r="J44" s="14">
        <v>0</v>
      </c>
      <c r="K44" s="14">
        <v>0</v>
      </c>
      <c r="L44" s="14">
        <v>1</v>
      </c>
      <c r="M44" s="15">
        <v>47.834000000000003</v>
      </c>
      <c r="N44" s="16" t="str">
        <f t="shared" si="2"/>
        <v>NE</v>
      </c>
      <c r="O44" s="17">
        <v>4.4000000000000004</v>
      </c>
      <c r="P44" s="16" t="s">
        <v>137</v>
      </c>
      <c r="Q44" s="18">
        <v>1.6</v>
      </c>
      <c r="R44" s="19">
        <v>21.22</v>
      </c>
      <c r="S44" s="19">
        <v>17.3</v>
      </c>
      <c r="T44" s="19">
        <v>25.7</v>
      </c>
      <c r="U44" s="20">
        <v>48.5</v>
      </c>
      <c r="V44" s="16" t="s">
        <v>10</v>
      </c>
      <c r="W44" s="21">
        <v>0.28999999999999998</v>
      </c>
      <c r="X44" s="21">
        <v>0.17</v>
      </c>
      <c r="Y44" s="21">
        <v>0.42</v>
      </c>
      <c r="Z44" s="21">
        <v>0</v>
      </c>
      <c r="AA44" s="21">
        <v>0</v>
      </c>
      <c r="AB44" s="21">
        <v>0</v>
      </c>
      <c r="AC44" s="21">
        <v>0</v>
      </c>
      <c r="AD44" s="21">
        <v>0.12</v>
      </c>
      <c r="AE44" s="21">
        <v>3.95</v>
      </c>
      <c r="AF44" s="21">
        <v>2.95</v>
      </c>
      <c r="AG44" s="21">
        <v>8.1999999999999993</v>
      </c>
      <c r="AH44" s="18" t="s">
        <v>21</v>
      </c>
      <c r="AI44" s="13" t="str">
        <f>VLOOKUP(AH44,'Hess and Brezowsky'!$B$2:$G$31,2,FALSE)</f>
        <v>Mixed</v>
      </c>
      <c r="AJ44" s="18" t="str">
        <f>VLOOKUP(AH44,'Hess and Brezowsky'!$B$2:$G$31,3,FALSE)</f>
        <v>A</v>
      </c>
      <c r="AK44" s="13" t="str">
        <f>VLOOKUP(AH44,'Hess and Brezowsky'!$B$2:$G$31,4,FALSE)</f>
        <v>Anticyclonic South-Westerly</v>
      </c>
      <c r="AL44" s="29">
        <v>0.17496527777777779</v>
      </c>
      <c r="AM44" s="29">
        <v>0.4987037037037037</v>
      </c>
      <c r="AN44" s="30">
        <v>0.82245370370370374</v>
      </c>
    </row>
    <row r="45" spans="1:40" ht="15.75" customHeight="1" x14ac:dyDescent="0.2">
      <c r="A45" s="27">
        <v>44765</v>
      </c>
      <c r="B45" s="13">
        <v>2022</v>
      </c>
      <c r="C45" s="13">
        <v>204</v>
      </c>
      <c r="D45" s="13">
        <f t="shared" si="0"/>
        <v>7</v>
      </c>
      <c r="E45" s="13"/>
      <c r="F45" s="13">
        <f t="shared" si="1"/>
        <v>3</v>
      </c>
      <c r="G45" s="14">
        <v>1</v>
      </c>
      <c r="H45" s="14">
        <v>0</v>
      </c>
      <c r="I45" s="14">
        <v>1</v>
      </c>
      <c r="J45" s="14">
        <v>0</v>
      </c>
      <c r="K45" s="14">
        <v>0</v>
      </c>
      <c r="L45" s="14">
        <v>1</v>
      </c>
      <c r="M45" s="15">
        <v>309.048</v>
      </c>
      <c r="N45" s="16" t="str">
        <f t="shared" si="2"/>
        <v>NW</v>
      </c>
      <c r="O45" s="17">
        <v>3.7</v>
      </c>
      <c r="P45" s="16" t="s">
        <v>137</v>
      </c>
      <c r="Q45" s="18">
        <v>0</v>
      </c>
      <c r="R45" s="19">
        <v>22.03</v>
      </c>
      <c r="S45" s="19">
        <v>19.100000000000001</v>
      </c>
      <c r="T45" s="19">
        <v>27</v>
      </c>
      <c r="U45" s="20">
        <v>300.49</v>
      </c>
      <c r="V45" s="16" t="s">
        <v>6</v>
      </c>
      <c r="W45" s="21">
        <v>0.08</v>
      </c>
      <c r="X45" s="21">
        <v>0.08</v>
      </c>
      <c r="Y45" s="21">
        <v>0</v>
      </c>
      <c r="Z45" s="21">
        <v>0</v>
      </c>
      <c r="AA45" s="21">
        <v>0</v>
      </c>
      <c r="AB45" s="21">
        <v>0</v>
      </c>
      <c r="AC45" s="21">
        <v>0.5</v>
      </c>
      <c r="AD45" s="21">
        <v>0.33</v>
      </c>
      <c r="AE45" s="21">
        <v>3.49</v>
      </c>
      <c r="AF45" s="21">
        <v>2.82</v>
      </c>
      <c r="AG45" s="21">
        <v>6.9</v>
      </c>
      <c r="AH45" s="18" t="s">
        <v>21</v>
      </c>
      <c r="AI45" s="13" t="str">
        <f>VLOOKUP(AH45,'Hess and Brezowsky'!$B$2:$G$31,2,FALSE)</f>
        <v>Mixed</v>
      </c>
      <c r="AJ45" s="18" t="str">
        <f>VLOOKUP(AH45,'Hess and Brezowsky'!$B$2:$G$31,3,FALSE)</f>
        <v>A</v>
      </c>
      <c r="AK45" s="13" t="str">
        <f>VLOOKUP(AH45,'Hess and Brezowsky'!$B$2:$G$31,4,FALSE)</f>
        <v>Anticyclonic South-Westerly</v>
      </c>
      <c r="AL45" s="29">
        <v>0.17581018518518518</v>
      </c>
      <c r="AM45" s="29">
        <v>0.49873842592592593</v>
      </c>
      <c r="AN45" s="30">
        <v>0.82166666666666666</v>
      </c>
    </row>
    <row r="46" spans="1:40" ht="15.75" customHeight="1" x14ac:dyDescent="0.2">
      <c r="A46" s="27">
        <v>44766</v>
      </c>
      <c r="B46" s="13">
        <v>2022</v>
      </c>
      <c r="C46" s="13">
        <v>205</v>
      </c>
      <c r="D46" s="13">
        <f t="shared" si="0"/>
        <v>1</v>
      </c>
      <c r="E46" s="13"/>
      <c r="F46" s="13">
        <f t="shared" si="1"/>
        <v>3</v>
      </c>
      <c r="G46" s="14">
        <v>0.87</v>
      </c>
      <c r="H46" s="14">
        <v>0</v>
      </c>
      <c r="I46" s="14">
        <v>1</v>
      </c>
      <c r="J46" s="14">
        <v>0</v>
      </c>
      <c r="K46" s="14">
        <v>0</v>
      </c>
      <c r="L46" s="14">
        <v>0.91</v>
      </c>
      <c r="M46" s="15">
        <v>169.60400000000001</v>
      </c>
      <c r="N46" s="16" t="str">
        <f t="shared" si="2"/>
        <v>S</v>
      </c>
      <c r="O46" s="17">
        <v>5.6</v>
      </c>
      <c r="P46" s="16" t="s">
        <v>139</v>
      </c>
      <c r="Q46" s="18">
        <v>0</v>
      </c>
      <c r="R46" s="19">
        <v>26.2</v>
      </c>
      <c r="S46" s="19">
        <v>18.3</v>
      </c>
      <c r="T46" s="19">
        <v>33.4</v>
      </c>
      <c r="U46" s="20">
        <v>159.86000000000001</v>
      </c>
      <c r="V46" s="16" t="s">
        <v>13</v>
      </c>
      <c r="W46" s="21">
        <v>0</v>
      </c>
      <c r="X46" s="21">
        <v>0.08</v>
      </c>
      <c r="Y46" s="21">
        <v>0.08</v>
      </c>
      <c r="Z46" s="21">
        <v>0.12</v>
      </c>
      <c r="AA46" s="21">
        <v>0.71</v>
      </c>
      <c r="AB46" s="21">
        <v>0</v>
      </c>
      <c r="AC46" s="21">
        <v>0</v>
      </c>
      <c r="AD46" s="21">
        <v>0</v>
      </c>
      <c r="AE46" s="21">
        <v>4.9400000000000004</v>
      </c>
      <c r="AF46" s="21">
        <v>3.74</v>
      </c>
      <c r="AG46" s="21">
        <v>7.1</v>
      </c>
      <c r="AH46" s="18" t="s">
        <v>21</v>
      </c>
      <c r="AI46" s="13" t="str">
        <f>VLOOKUP(AH46,'Hess and Brezowsky'!$B$2:$G$31,2,FALSE)</f>
        <v>Mixed</v>
      </c>
      <c r="AJ46" s="18" t="str">
        <f>VLOOKUP(AH46,'Hess and Brezowsky'!$B$2:$G$31,3,FALSE)</f>
        <v>A</v>
      </c>
      <c r="AK46" s="13" t="str">
        <f>VLOOKUP(AH46,'Hess and Brezowsky'!$B$2:$G$31,4,FALSE)</f>
        <v>Anticyclonic South-Westerly</v>
      </c>
      <c r="AL46" s="29">
        <v>0.17666666666666667</v>
      </c>
      <c r="AM46" s="29">
        <v>0.49876157407407407</v>
      </c>
      <c r="AN46" s="30">
        <v>0.82085648148148149</v>
      </c>
    </row>
    <row r="47" spans="1:40" ht="15.75" customHeight="1" x14ac:dyDescent="0.2">
      <c r="A47" s="27">
        <v>44767</v>
      </c>
      <c r="B47" s="13">
        <v>2022</v>
      </c>
      <c r="C47" s="13">
        <v>206</v>
      </c>
      <c r="D47" s="13">
        <f t="shared" si="0"/>
        <v>2</v>
      </c>
      <c r="E47" s="13"/>
      <c r="F47" s="13">
        <f t="shared" si="1"/>
        <v>3</v>
      </c>
      <c r="G47" s="14">
        <v>1</v>
      </c>
      <c r="H47" s="14">
        <v>0</v>
      </c>
      <c r="I47" s="14">
        <v>1</v>
      </c>
      <c r="J47" s="14">
        <v>0</v>
      </c>
      <c r="K47" s="14">
        <v>0</v>
      </c>
      <c r="L47" s="14">
        <v>1</v>
      </c>
      <c r="M47" s="15">
        <v>279.40300000000002</v>
      </c>
      <c r="N47" s="16" t="str">
        <f t="shared" si="2"/>
        <v>W</v>
      </c>
      <c r="O47" s="17">
        <v>8.6999999999999993</v>
      </c>
      <c r="P47" s="16" t="s">
        <v>137</v>
      </c>
      <c r="Q47" s="18">
        <v>0</v>
      </c>
      <c r="R47" s="19">
        <v>23.17</v>
      </c>
      <c r="S47" s="19">
        <v>19.100000000000001</v>
      </c>
      <c r="T47" s="19">
        <v>27.8</v>
      </c>
      <c r="U47" s="20">
        <v>278.61</v>
      </c>
      <c r="V47" s="16" t="s">
        <v>16</v>
      </c>
      <c r="W47" s="21">
        <v>0</v>
      </c>
      <c r="X47" s="21">
        <v>0</v>
      </c>
      <c r="Y47" s="21">
        <v>0</v>
      </c>
      <c r="Z47" s="21">
        <v>0</v>
      </c>
      <c r="AA47" s="21">
        <v>0.04</v>
      </c>
      <c r="AB47" s="21">
        <v>0.08</v>
      </c>
      <c r="AC47" s="21">
        <v>0.57999999999999996</v>
      </c>
      <c r="AD47" s="21">
        <v>0.28999999999999998</v>
      </c>
      <c r="AE47" s="21">
        <v>8.33</v>
      </c>
      <c r="AF47" s="21">
        <v>7.56</v>
      </c>
      <c r="AG47" s="21">
        <v>14</v>
      </c>
      <c r="AH47" s="18" t="s">
        <v>21</v>
      </c>
      <c r="AI47" s="13" t="str">
        <f>VLOOKUP(AH47,'Hess and Brezowsky'!$B$2:$G$31,2,FALSE)</f>
        <v>Mixed</v>
      </c>
      <c r="AJ47" s="18" t="str">
        <f>VLOOKUP(AH47,'Hess and Brezowsky'!$B$2:$G$31,3,FALSE)</f>
        <v>A</v>
      </c>
      <c r="AK47" s="13" t="str">
        <f>VLOOKUP(AH47,'Hess and Brezowsky'!$B$2:$G$31,4,FALSE)</f>
        <v>Anticyclonic South-Westerly</v>
      </c>
      <c r="AL47" s="29">
        <v>0.17753472222222222</v>
      </c>
      <c r="AM47" s="29">
        <v>0.49877314814814816</v>
      </c>
      <c r="AN47" s="30">
        <v>0.82002314814814814</v>
      </c>
    </row>
    <row r="48" spans="1:40" ht="15.75" customHeight="1" x14ac:dyDescent="0.2">
      <c r="A48" s="27">
        <v>44768</v>
      </c>
      <c r="B48" s="13">
        <v>2022</v>
      </c>
      <c r="C48" s="13">
        <v>207</v>
      </c>
      <c r="D48" s="13">
        <f t="shared" si="0"/>
        <v>3</v>
      </c>
      <c r="E48" s="13"/>
      <c r="F48" s="13">
        <f t="shared" si="1"/>
        <v>3</v>
      </c>
      <c r="G48" s="14">
        <v>0.79</v>
      </c>
      <c r="H48" s="14">
        <v>0</v>
      </c>
      <c r="I48" s="14">
        <v>1</v>
      </c>
      <c r="J48" s="14">
        <v>0</v>
      </c>
      <c r="K48" s="14">
        <v>0</v>
      </c>
      <c r="L48" s="14">
        <v>1</v>
      </c>
      <c r="M48" s="15">
        <v>309.32799999999997</v>
      </c>
      <c r="N48" s="16" t="str">
        <f t="shared" si="2"/>
        <v>NW</v>
      </c>
      <c r="O48" s="17">
        <v>5.4</v>
      </c>
      <c r="P48" s="16" t="s">
        <v>137</v>
      </c>
      <c r="Q48" s="18">
        <v>0</v>
      </c>
      <c r="R48" s="19">
        <v>19.72</v>
      </c>
      <c r="S48" s="19">
        <v>17.2</v>
      </c>
      <c r="T48" s="19">
        <v>22.7</v>
      </c>
      <c r="U48" s="20">
        <v>298.08</v>
      </c>
      <c r="V48" s="16" t="s">
        <v>6</v>
      </c>
      <c r="W48" s="21">
        <v>0.12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0.62</v>
      </c>
      <c r="AD48" s="21">
        <v>0.25</v>
      </c>
      <c r="AE48" s="21">
        <v>5.77</v>
      </c>
      <c r="AF48" s="21">
        <v>5.26</v>
      </c>
      <c r="AG48" s="21">
        <v>10.6</v>
      </c>
      <c r="AH48" s="18" t="s">
        <v>4</v>
      </c>
      <c r="AI48" s="13" t="str">
        <f>VLOOKUP(AH48,'Hess and Brezowsky'!$B$2:$G$31,2,FALSE)</f>
        <v>Mixed</v>
      </c>
      <c r="AJ48" s="18" t="str">
        <f>VLOOKUP(AH48,'Hess and Brezowsky'!$B$2:$G$31,3,FALSE)</f>
        <v>A</v>
      </c>
      <c r="AK48" s="13" t="str">
        <f>VLOOKUP(AH48,'Hess and Brezowsky'!$B$2:$G$31,4,FALSE)</f>
        <v>Zonal Ridge across Central Europe</v>
      </c>
      <c r="AL48" s="29">
        <v>0.17841435185185187</v>
      </c>
      <c r="AM48" s="29">
        <v>0.4987847222222222</v>
      </c>
      <c r="AN48" s="30">
        <v>0.81916666666666671</v>
      </c>
    </row>
    <row r="49" spans="1:40" ht="15.75" customHeight="1" x14ac:dyDescent="0.2">
      <c r="A49" s="27">
        <v>44769</v>
      </c>
      <c r="B49" s="13">
        <v>2022</v>
      </c>
      <c r="C49" s="13">
        <v>208</v>
      </c>
      <c r="D49" s="13">
        <f t="shared" si="0"/>
        <v>4</v>
      </c>
      <c r="E49" s="13"/>
      <c r="F49" s="13">
        <f t="shared" si="1"/>
        <v>3</v>
      </c>
      <c r="G49" s="14">
        <v>1</v>
      </c>
      <c r="H49" s="14">
        <v>0</v>
      </c>
      <c r="I49" s="14">
        <v>1</v>
      </c>
      <c r="J49" s="14">
        <v>0</v>
      </c>
      <c r="K49" s="14">
        <v>0</v>
      </c>
      <c r="L49" s="14">
        <v>1</v>
      </c>
      <c r="M49" s="15">
        <v>51.573999999999998</v>
      </c>
      <c r="N49" s="16" t="str">
        <f t="shared" si="2"/>
        <v>NE</v>
      </c>
      <c r="O49" s="17">
        <v>6.1</v>
      </c>
      <c r="P49" s="16" t="s">
        <v>137</v>
      </c>
      <c r="Q49" s="18">
        <v>0</v>
      </c>
      <c r="R49" s="19">
        <v>20.64</v>
      </c>
      <c r="S49" s="19">
        <v>14.8</v>
      </c>
      <c r="T49" s="19">
        <v>26.5</v>
      </c>
      <c r="U49" s="20">
        <v>51.23</v>
      </c>
      <c r="V49" s="16" t="s">
        <v>10</v>
      </c>
      <c r="W49" s="21">
        <v>0.08</v>
      </c>
      <c r="X49" s="21">
        <v>0.88</v>
      </c>
      <c r="Y49" s="21">
        <v>0.04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5.2</v>
      </c>
      <c r="AF49" s="21">
        <v>5.0599999999999996</v>
      </c>
      <c r="AG49" s="21">
        <v>9.5</v>
      </c>
      <c r="AH49" s="18" t="s">
        <v>4</v>
      </c>
      <c r="AI49" s="13" t="str">
        <f>VLOOKUP(AH49,'Hess and Brezowsky'!$B$2:$G$31,2,FALSE)</f>
        <v>Mixed</v>
      </c>
      <c r="AJ49" s="18" t="str">
        <f>VLOOKUP(AH49,'Hess and Brezowsky'!$B$2:$G$31,3,FALSE)</f>
        <v>A</v>
      </c>
      <c r="AK49" s="13" t="str">
        <f>VLOOKUP(AH49,'Hess and Brezowsky'!$B$2:$G$31,4,FALSE)</f>
        <v>Zonal Ridge across Central Europe</v>
      </c>
      <c r="AL49" s="29">
        <v>0.17930555555555555</v>
      </c>
      <c r="AM49" s="29">
        <v>0.49879629629629629</v>
      </c>
      <c r="AN49" s="30">
        <v>0.81828703703703709</v>
      </c>
    </row>
    <row r="50" spans="1:40" ht="15.75" customHeight="1" x14ac:dyDescent="0.2">
      <c r="A50" s="27">
        <v>44770</v>
      </c>
      <c r="B50" s="13">
        <v>2022</v>
      </c>
      <c r="C50" s="13">
        <v>209</v>
      </c>
      <c r="D50" s="13">
        <f t="shared" si="0"/>
        <v>5</v>
      </c>
      <c r="E50" s="13"/>
      <c r="F50" s="13">
        <f t="shared" si="1"/>
        <v>3</v>
      </c>
      <c r="G50" s="14">
        <v>1</v>
      </c>
      <c r="H50" s="14">
        <v>0</v>
      </c>
      <c r="I50" s="14">
        <v>1</v>
      </c>
      <c r="J50" s="14">
        <v>0</v>
      </c>
      <c r="K50" s="14">
        <v>0</v>
      </c>
      <c r="L50" s="14">
        <v>1</v>
      </c>
      <c r="M50" s="15">
        <v>39.465000000000003</v>
      </c>
      <c r="N50" s="16" t="str">
        <f t="shared" si="2"/>
        <v>NE</v>
      </c>
      <c r="O50" s="17">
        <v>4.8</v>
      </c>
      <c r="P50" s="16" t="s">
        <v>137</v>
      </c>
      <c r="Q50" s="18">
        <v>0</v>
      </c>
      <c r="R50" s="19">
        <v>21.67</v>
      </c>
      <c r="S50" s="19">
        <v>16.5</v>
      </c>
      <c r="T50" s="19">
        <v>27.5</v>
      </c>
      <c r="U50" s="20">
        <v>44.66</v>
      </c>
      <c r="V50" s="16" t="s">
        <v>10</v>
      </c>
      <c r="W50" s="21">
        <v>0.38</v>
      </c>
      <c r="X50" s="21">
        <v>0.17</v>
      </c>
      <c r="Y50" s="21">
        <v>0.28999999999999998</v>
      </c>
      <c r="Z50" s="21">
        <v>0.04</v>
      </c>
      <c r="AA50" s="21">
        <v>0</v>
      </c>
      <c r="AB50" s="21">
        <v>0</v>
      </c>
      <c r="AC50" s="21">
        <v>0</v>
      </c>
      <c r="AD50" s="21">
        <v>0.12</v>
      </c>
      <c r="AE50" s="21">
        <v>4.42</v>
      </c>
      <c r="AF50" s="21">
        <v>2.99</v>
      </c>
      <c r="AG50" s="21">
        <v>9.6999999999999993</v>
      </c>
      <c r="AH50" s="18" t="s">
        <v>4</v>
      </c>
      <c r="AI50" s="13" t="str">
        <f>VLOOKUP(AH50,'Hess and Brezowsky'!$B$2:$G$31,2,FALSE)</f>
        <v>Mixed</v>
      </c>
      <c r="AJ50" s="18" t="str">
        <f>VLOOKUP(AH50,'Hess and Brezowsky'!$B$2:$G$31,3,FALSE)</f>
        <v>A</v>
      </c>
      <c r="AK50" s="13" t="str">
        <f>VLOOKUP(AH50,'Hess and Brezowsky'!$B$2:$G$31,4,FALSE)</f>
        <v>Zonal Ridge across Central Europe</v>
      </c>
      <c r="AL50" s="29">
        <v>0.18019675925925926</v>
      </c>
      <c r="AM50" s="29">
        <v>0.49879629629629629</v>
      </c>
      <c r="AN50" s="30">
        <v>0.81738425925925928</v>
      </c>
    </row>
    <row r="51" spans="1:40" ht="15.75" customHeight="1" x14ac:dyDescent="0.2">
      <c r="A51" s="27">
        <v>44771</v>
      </c>
      <c r="B51" s="13">
        <v>2022</v>
      </c>
      <c r="C51" s="13">
        <v>210</v>
      </c>
      <c r="D51" s="13">
        <f t="shared" si="0"/>
        <v>6</v>
      </c>
      <c r="E51" s="13"/>
      <c r="F51" s="13">
        <f t="shared" si="1"/>
        <v>3</v>
      </c>
      <c r="G51" s="14">
        <v>1</v>
      </c>
      <c r="H51" s="14">
        <v>0</v>
      </c>
      <c r="I51" s="14">
        <v>1</v>
      </c>
      <c r="J51" s="14">
        <v>0</v>
      </c>
      <c r="K51" s="14">
        <v>0</v>
      </c>
      <c r="L51" s="14">
        <v>1</v>
      </c>
      <c r="M51" s="15">
        <v>7.4340000000000002</v>
      </c>
      <c r="N51" s="16" t="str">
        <f t="shared" si="2"/>
        <v>N</v>
      </c>
      <c r="O51" s="17">
        <v>3.8</v>
      </c>
      <c r="P51" s="16" t="s">
        <v>137</v>
      </c>
      <c r="Q51" s="18">
        <v>0</v>
      </c>
      <c r="R51" s="19">
        <v>23.9</v>
      </c>
      <c r="S51" s="19">
        <v>17.100000000000001</v>
      </c>
      <c r="T51" s="19">
        <v>29.6</v>
      </c>
      <c r="U51" s="20">
        <v>350.34</v>
      </c>
      <c r="V51" s="16" t="s">
        <v>7</v>
      </c>
      <c r="W51" s="21">
        <v>0.12</v>
      </c>
      <c r="X51" s="21">
        <v>0.38</v>
      </c>
      <c r="Y51" s="21">
        <v>0</v>
      </c>
      <c r="Z51" s="21">
        <v>0</v>
      </c>
      <c r="AA51" s="21">
        <v>0</v>
      </c>
      <c r="AB51" s="21">
        <v>0</v>
      </c>
      <c r="AC51" s="21">
        <v>0.21</v>
      </c>
      <c r="AD51" s="21">
        <v>0.28999999999999998</v>
      </c>
      <c r="AE51" s="21">
        <v>3.64</v>
      </c>
      <c r="AF51" s="21">
        <v>2.39</v>
      </c>
      <c r="AG51" s="21">
        <v>8.8000000000000007</v>
      </c>
      <c r="AH51" s="18" t="s">
        <v>4</v>
      </c>
      <c r="AI51" s="13" t="str">
        <f>VLOOKUP(AH51,'Hess and Brezowsky'!$B$2:$G$31,2,FALSE)</f>
        <v>Mixed</v>
      </c>
      <c r="AJ51" s="18" t="str">
        <f>VLOOKUP(AH51,'Hess and Brezowsky'!$B$2:$G$31,3,FALSE)</f>
        <v>A</v>
      </c>
      <c r="AK51" s="13" t="str">
        <f>VLOOKUP(AH51,'Hess and Brezowsky'!$B$2:$G$31,4,FALSE)</f>
        <v>Zonal Ridge across Central Europe</v>
      </c>
      <c r="AL51" s="29">
        <v>0.18111111111111111</v>
      </c>
      <c r="AM51" s="29">
        <v>0.4987847222222222</v>
      </c>
      <c r="AN51" s="30">
        <v>0.81645833333333329</v>
      </c>
    </row>
    <row r="52" spans="1:40" ht="15.75" customHeight="1" x14ac:dyDescent="0.2">
      <c r="A52" s="27">
        <v>44772</v>
      </c>
      <c r="B52" s="13">
        <v>2022</v>
      </c>
      <c r="C52" s="13">
        <v>211</v>
      </c>
      <c r="D52" s="13">
        <f t="shared" si="0"/>
        <v>7</v>
      </c>
      <c r="E52" s="13"/>
      <c r="F52" s="13">
        <f t="shared" si="1"/>
        <v>3</v>
      </c>
      <c r="G52" s="14">
        <v>1</v>
      </c>
      <c r="H52" s="14">
        <v>0</v>
      </c>
      <c r="I52" s="14">
        <v>1</v>
      </c>
      <c r="J52" s="14">
        <v>0</v>
      </c>
      <c r="K52" s="14">
        <v>0</v>
      </c>
      <c r="L52" s="14">
        <v>1</v>
      </c>
      <c r="M52" s="15">
        <v>326.45499999999998</v>
      </c>
      <c r="N52" s="16" t="str">
        <f t="shared" si="2"/>
        <v>NW</v>
      </c>
      <c r="O52" s="17">
        <v>4.4000000000000004</v>
      </c>
      <c r="P52" s="16" t="s">
        <v>137</v>
      </c>
      <c r="Q52" s="18">
        <v>0</v>
      </c>
      <c r="R52" s="19">
        <v>24.7</v>
      </c>
      <c r="S52" s="19">
        <v>18.399999999999999</v>
      </c>
      <c r="T52" s="19">
        <v>30.1</v>
      </c>
      <c r="U52" s="20">
        <v>318.27</v>
      </c>
      <c r="V52" s="16" t="s">
        <v>6</v>
      </c>
      <c r="W52" s="21">
        <v>0.08</v>
      </c>
      <c r="X52" s="21">
        <v>0.12</v>
      </c>
      <c r="Y52" s="21">
        <v>0.08</v>
      </c>
      <c r="Z52" s="21">
        <v>0.04</v>
      </c>
      <c r="AA52" s="21">
        <v>0.04</v>
      </c>
      <c r="AB52" s="21">
        <v>0</v>
      </c>
      <c r="AC52" s="21">
        <v>0.33</v>
      </c>
      <c r="AD52" s="21">
        <v>0.28999999999999998</v>
      </c>
      <c r="AE52" s="21">
        <v>3.8</v>
      </c>
      <c r="AF52" s="21">
        <v>2.5499999999999998</v>
      </c>
      <c r="AG52" s="21">
        <v>8.3000000000000007</v>
      </c>
      <c r="AH52" s="18" t="s">
        <v>4</v>
      </c>
      <c r="AI52" s="13" t="str">
        <f>VLOOKUP(AH52,'Hess and Brezowsky'!$B$2:$G$31,2,FALSE)</f>
        <v>Mixed</v>
      </c>
      <c r="AJ52" s="18" t="str">
        <f>VLOOKUP(AH52,'Hess and Brezowsky'!$B$2:$G$31,3,FALSE)</f>
        <v>A</v>
      </c>
      <c r="AK52" s="13" t="str">
        <f>VLOOKUP(AH52,'Hess and Brezowsky'!$B$2:$G$31,4,FALSE)</f>
        <v>Zonal Ridge across Central Europe</v>
      </c>
      <c r="AL52" s="29">
        <v>0.18202546296296296</v>
      </c>
      <c r="AM52" s="29">
        <v>0.49876157407407407</v>
      </c>
      <c r="AN52" s="30">
        <v>0.81550925925925921</v>
      </c>
    </row>
    <row r="53" spans="1:40" ht="15.75" customHeight="1" x14ac:dyDescent="0.2">
      <c r="A53" s="27">
        <v>44773</v>
      </c>
      <c r="B53" s="13">
        <v>2022</v>
      </c>
      <c r="C53" s="13">
        <v>212</v>
      </c>
      <c r="D53" s="13">
        <f t="shared" si="0"/>
        <v>1</v>
      </c>
      <c r="E53" s="13"/>
      <c r="F53" s="13">
        <f t="shared" si="1"/>
        <v>3</v>
      </c>
      <c r="G53" s="14">
        <v>1</v>
      </c>
      <c r="H53" s="14">
        <v>0</v>
      </c>
      <c r="I53" s="14">
        <v>1</v>
      </c>
      <c r="J53" s="14">
        <v>0</v>
      </c>
      <c r="K53" s="14">
        <v>0</v>
      </c>
      <c r="L53" s="14">
        <v>1</v>
      </c>
      <c r="M53" s="15">
        <v>306.45999999999998</v>
      </c>
      <c r="N53" s="16" t="str">
        <f t="shared" si="2"/>
        <v>NW</v>
      </c>
      <c r="O53" s="17">
        <v>5.6</v>
      </c>
      <c r="P53" s="16" t="s">
        <v>137</v>
      </c>
      <c r="Q53" s="18">
        <v>0</v>
      </c>
      <c r="R53" s="19">
        <v>23.07</v>
      </c>
      <c r="S53" s="19">
        <v>18.899999999999999</v>
      </c>
      <c r="T53" s="19">
        <v>28.8</v>
      </c>
      <c r="U53" s="20">
        <v>297.66000000000003</v>
      </c>
      <c r="V53" s="16" t="s">
        <v>6</v>
      </c>
      <c r="W53" s="21">
        <v>0.08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0.42</v>
      </c>
      <c r="AD53" s="21">
        <v>0.5</v>
      </c>
      <c r="AE53" s="21">
        <v>5.03</v>
      </c>
      <c r="AF53" s="21">
        <v>4.84</v>
      </c>
      <c r="AG53" s="21">
        <v>8.1999999999999993</v>
      </c>
      <c r="AH53" s="18" t="s">
        <v>4</v>
      </c>
      <c r="AI53" s="13" t="str">
        <f>VLOOKUP(AH53,'Hess and Brezowsky'!$B$2:$G$31,2,FALSE)</f>
        <v>Mixed</v>
      </c>
      <c r="AJ53" s="18" t="str">
        <f>VLOOKUP(AH53,'Hess and Brezowsky'!$B$2:$G$31,3,FALSE)</f>
        <v>A</v>
      </c>
      <c r="AK53" s="13" t="str">
        <f>VLOOKUP(AH53,'Hess and Brezowsky'!$B$2:$G$31,4,FALSE)</f>
        <v>Zonal Ridge across Central Europe</v>
      </c>
      <c r="AL53" s="29">
        <v>0.1829513888888889</v>
      </c>
      <c r="AM53" s="29">
        <v>0.49875000000000003</v>
      </c>
      <c r="AN53" s="30">
        <v>0.81453703703703706</v>
      </c>
    </row>
    <row r="54" spans="1:40" ht="15.75" customHeight="1" x14ac:dyDescent="0.2">
      <c r="A54" s="27">
        <v>44774</v>
      </c>
      <c r="B54" s="13">
        <v>2022</v>
      </c>
      <c r="C54" s="13">
        <v>213</v>
      </c>
      <c r="D54" s="13">
        <f t="shared" si="0"/>
        <v>2</v>
      </c>
      <c r="E54" s="13"/>
      <c r="F54" s="13">
        <f t="shared" si="1"/>
        <v>3</v>
      </c>
      <c r="G54" s="14">
        <v>1</v>
      </c>
      <c r="H54" s="14">
        <v>0</v>
      </c>
      <c r="I54" s="14">
        <v>1</v>
      </c>
      <c r="J54" s="14">
        <v>0</v>
      </c>
      <c r="K54" s="14">
        <v>0</v>
      </c>
      <c r="L54" s="14">
        <v>1</v>
      </c>
      <c r="M54" s="15">
        <v>314.98700000000002</v>
      </c>
      <c r="N54" s="16" t="str">
        <f t="shared" si="2"/>
        <v>NW</v>
      </c>
      <c r="O54" s="17">
        <v>4</v>
      </c>
      <c r="P54" s="16" t="s">
        <v>137</v>
      </c>
      <c r="Q54" s="18">
        <v>0</v>
      </c>
      <c r="R54" s="19">
        <v>23</v>
      </c>
      <c r="S54" s="19">
        <v>20.2</v>
      </c>
      <c r="T54" s="19">
        <v>27.3</v>
      </c>
      <c r="U54" s="20">
        <v>303.17</v>
      </c>
      <c r="V54" s="16" t="s">
        <v>6</v>
      </c>
      <c r="W54" s="21">
        <v>0.08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0.38</v>
      </c>
      <c r="AD54" s="21">
        <v>0.54</v>
      </c>
      <c r="AE54" s="21">
        <v>3.63</v>
      </c>
      <c r="AF54" s="21">
        <v>3.32</v>
      </c>
      <c r="AG54" s="21">
        <v>6.9</v>
      </c>
      <c r="AH54" s="18" t="s">
        <v>4</v>
      </c>
      <c r="AI54" s="13" t="str">
        <f>VLOOKUP(AH54,'Hess and Brezowsky'!$B$2:$G$31,2,FALSE)</f>
        <v>Mixed</v>
      </c>
      <c r="AJ54" s="18" t="str">
        <f>VLOOKUP(AH54,'Hess and Brezowsky'!$B$2:$G$31,3,FALSE)</f>
        <v>A</v>
      </c>
      <c r="AK54" s="13" t="str">
        <f>VLOOKUP(AH54,'Hess and Brezowsky'!$B$2:$G$31,4,FALSE)</f>
        <v>Zonal Ridge across Central Europe</v>
      </c>
      <c r="AL54" s="29">
        <v>0.18387731481481481</v>
      </c>
      <c r="AM54" s="29">
        <v>0.4987152777777778</v>
      </c>
      <c r="AN54" s="30">
        <v>0.81355324074074076</v>
      </c>
    </row>
    <row r="55" spans="1:40" ht="15.75" customHeight="1" x14ac:dyDescent="0.2">
      <c r="A55" s="27">
        <v>44775</v>
      </c>
      <c r="B55" s="13">
        <v>2022</v>
      </c>
      <c r="C55" s="13">
        <v>214</v>
      </c>
      <c r="D55" s="13">
        <f t="shared" si="0"/>
        <v>3</v>
      </c>
      <c r="E55" s="13"/>
      <c r="F55" s="13">
        <f t="shared" si="1"/>
        <v>3</v>
      </c>
      <c r="G55" s="14">
        <v>0.91</v>
      </c>
      <c r="H55" s="14">
        <v>0</v>
      </c>
      <c r="I55" s="14">
        <v>1</v>
      </c>
      <c r="J55" s="14">
        <v>0</v>
      </c>
      <c r="K55" s="14">
        <v>0</v>
      </c>
      <c r="L55" s="14">
        <v>1</v>
      </c>
      <c r="M55" s="15">
        <v>356.923</v>
      </c>
      <c r="N55" s="16" t="str">
        <f t="shared" si="2"/>
        <v>N</v>
      </c>
      <c r="O55" s="17">
        <v>3.2</v>
      </c>
      <c r="P55" s="16" t="s">
        <v>138</v>
      </c>
      <c r="Q55" s="18">
        <v>0</v>
      </c>
      <c r="R55" s="19">
        <v>24.99</v>
      </c>
      <c r="S55" s="19">
        <v>18.8</v>
      </c>
      <c r="T55" s="19">
        <v>31.6</v>
      </c>
      <c r="U55" s="20">
        <v>351.44</v>
      </c>
      <c r="V55" s="16" t="s">
        <v>7</v>
      </c>
      <c r="W55" s="21">
        <v>0.28999999999999998</v>
      </c>
      <c r="X55" s="21">
        <v>0.21</v>
      </c>
      <c r="Y55" s="21">
        <v>0</v>
      </c>
      <c r="Z55" s="21">
        <v>0</v>
      </c>
      <c r="AA55" s="21">
        <v>0</v>
      </c>
      <c r="AB55" s="21">
        <v>0.04</v>
      </c>
      <c r="AC55" s="21">
        <v>0.33</v>
      </c>
      <c r="AD55" s="21">
        <v>0.12</v>
      </c>
      <c r="AE55" s="21">
        <v>2.5</v>
      </c>
      <c r="AF55" s="21">
        <v>1.63</v>
      </c>
      <c r="AG55" s="21">
        <v>6.7</v>
      </c>
      <c r="AH55" s="18" t="s">
        <v>4</v>
      </c>
      <c r="AI55" s="13" t="str">
        <f>VLOOKUP(AH55,'Hess and Brezowsky'!$B$2:$G$31,2,FALSE)</f>
        <v>Mixed</v>
      </c>
      <c r="AJ55" s="18" t="str">
        <f>VLOOKUP(AH55,'Hess and Brezowsky'!$B$2:$G$31,3,FALSE)</f>
        <v>A</v>
      </c>
      <c r="AK55" s="13" t="str">
        <f>VLOOKUP(AH55,'Hess and Brezowsky'!$B$2:$G$31,4,FALSE)</f>
        <v>Zonal Ridge across Central Europe</v>
      </c>
      <c r="AL55" s="29">
        <v>0.18481481481481482</v>
      </c>
      <c r="AM55" s="29">
        <v>0.49868055555555557</v>
      </c>
      <c r="AN55" s="30">
        <v>0.81253472222222223</v>
      </c>
    </row>
    <row r="56" spans="1:40" ht="15.75" customHeight="1" x14ac:dyDescent="0.2">
      <c r="A56" s="27">
        <v>44776</v>
      </c>
      <c r="B56" s="13">
        <v>2022</v>
      </c>
      <c r="C56" s="13">
        <v>215</v>
      </c>
      <c r="D56" s="13">
        <f t="shared" si="0"/>
        <v>4</v>
      </c>
      <c r="E56" s="13"/>
      <c r="F56" s="13">
        <f t="shared" si="1"/>
        <v>3</v>
      </c>
      <c r="G56" s="14">
        <v>0.62</v>
      </c>
      <c r="H56" s="14">
        <v>0</v>
      </c>
      <c r="I56" s="14">
        <v>1</v>
      </c>
      <c r="J56" s="14">
        <v>0</v>
      </c>
      <c r="K56" s="14">
        <v>0</v>
      </c>
      <c r="L56" s="14">
        <v>0.75</v>
      </c>
      <c r="M56" s="15">
        <v>92.638000000000005</v>
      </c>
      <c r="N56" s="16" t="str">
        <f t="shared" si="2"/>
        <v>E</v>
      </c>
      <c r="O56" s="17">
        <v>3.8</v>
      </c>
      <c r="P56" s="16" t="s">
        <v>138</v>
      </c>
      <c r="Q56" s="18">
        <v>0</v>
      </c>
      <c r="R56" s="19">
        <v>28.35</v>
      </c>
      <c r="S56" s="19">
        <v>20.5</v>
      </c>
      <c r="T56" s="19">
        <v>35.799999999999997</v>
      </c>
      <c r="U56" s="20">
        <v>96.91</v>
      </c>
      <c r="V56" s="16" t="s">
        <v>9</v>
      </c>
      <c r="W56" s="21">
        <v>0.12</v>
      </c>
      <c r="X56" s="21">
        <v>0.12</v>
      </c>
      <c r="Y56" s="21">
        <v>0.08</v>
      </c>
      <c r="Z56" s="21">
        <v>0.17</v>
      </c>
      <c r="AA56" s="21">
        <v>0.38</v>
      </c>
      <c r="AB56" s="21">
        <v>0.08</v>
      </c>
      <c r="AC56" s="21">
        <v>0.04</v>
      </c>
      <c r="AD56" s="21">
        <v>0</v>
      </c>
      <c r="AE56" s="21">
        <v>3.49</v>
      </c>
      <c r="AF56" s="21">
        <v>1.34</v>
      </c>
      <c r="AG56" s="21">
        <v>7.3</v>
      </c>
      <c r="AH56" s="18" t="s">
        <v>4</v>
      </c>
      <c r="AI56" s="13" t="str">
        <f>VLOOKUP(AH56,'Hess and Brezowsky'!$B$2:$G$31,2,FALSE)</f>
        <v>Mixed</v>
      </c>
      <c r="AJ56" s="18" t="str">
        <f>VLOOKUP(AH56,'Hess and Brezowsky'!$B$2:$G$31,3,FALSE)</f>
        <v>A</v>
      </c>
      <c r="AK56" s="13" t="str">
        <f>VLOOKUP(AH56,'Hess and Brezowsky'!$B$2:$G$31,4,FALSE)</f>
        <v>Zonal Ridge across Central Europe</v>
      </c>
      <c r="AL56" s="29">
        <v>0.1857638888888889</v>
      </c>
      <c r="AM56" s="29">
        <v>0.49863425925925925</v>
      </c>
      <c r="AN56" s="30">
        <v>0.81150462962962966</v>
      </c>
    </row>
    <row r="57" spans="1:40" ht="15.75" customHeight="1" x14ac:dyDescent="0.2">
      <c r="A57" s="27">
        <v>44777</v>
      </c>
      <c r="B57" s="13">
        <v>2022</v>
      </c>
      <c r="C57" s="13">
        <v>216</v>
      </c>
      <c r="D57" s="13">
        <f t="shared" si="0"/>
        <v>5</v>
      </c>
      <c r="E57" s="13"/>
      <c r="F57" s="13">
        <f t="shared" si="1"/>
        <v>3</v>
      </c>
      <c r="G57" s="14">
        <v>1</v>
      </c>
      <c r="H57" s="14">
        <v>0</v>
      </c>
      <c r="I57" s="14">
        <v>1</v>
      </c>
      <c r="J57" s="14">
        <v>0</v>
      </c>
      <c r="K57" s="14">
        <v>0</v>
      </c>
      <c r="L57" s="14">
        <v>1</v>
      </c>
      <c r="M57" s="15">
        <v>349.31400000000002</v>
      </c>
      <c r="N57" s="16" t="str">
        <f t="shared" si="2"/>
        <v>N</v>
      </c>
      <c r="O57" s="17">
        <v>5.8</v>
      </c>
      <c r="P57" s="16" t="s">
        <v>137</v>
      </c>
      <c r="Q57" s="18">
        <v>3.4</v>
      </c>
      <c r="R57" s="19">
        <v>23.78</v>
      </c>
      <c r="S57" s="19">
        <v>18.399999999999999</v>
      </c>
      <c r="T57" s="19">
        <v>28.6</v>
      </c>
      <c r="U57" s="20">
        <v>340.94</v>
      </c>
      <c r="V57" s="16" t="s">
        <v>7</v>
      </c>
      <c r="W57" s="21">
        <v>0.62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0.38</v>
      </c>
      <c r="AE57" s="21">
        <v>5.38</v>
      </c>
      <c r="AF57" s="21">
        <v>5.0599999999999996</v>
      </c>
      <c r="AG57" s="21">
        <v>9.5</v>
      </c>
      <c r="AH57" s="18" t="s">
        <v>4</v>
      </c>
      <c r="AI57" s="13" t="str">
        <f>VLOOKUP(AH57,'Hess and Brezowsky'!$B$2:$G$31,2,FALSE)</f>
        <v>Mixed</v>
      </c>
      <c r="AJ57" s="18" t="str">
        <f>VLOOKUP(AH57,'Hess and Brezowsky'!$B$2:$G$31,3,FALSE)</f>
        <v>A</v>
      </c>
      <c r="AK57" s="13" t="str">
        <f>VLOOKUP(AH57,'Hess and Brezowsky'!$B$2:$G$31,4,FALSE)</f>
        <v>Zonal Ridge across Central Europe</v>
      </c>
      <c r="AL57" s="29">
        <v>0.18671296296296297</v>
      </c>
      <c r="AM57" s="29">
        <v>0.49858796296296298</v>
      </c>
      <c r="AN57" s="30">
        <v>0.81046296296296294</v>
      </c>
    </row>
    <row r="58" spans="1:40" ht="15.75" customHeight="1" x14ac:dyDescent="0.2">
      <c r="A58" s="27">
        <v>44778</v>
      </c>
      <c r="B58" s="13">
        <v>2022</v>
      </c>
      <c r="C58" s="13">
        <v>217</v>
      </c>
      <c r="D58" s="13">
        <f t="shared" si="0"/>
        <v>6</v>
      </c>
      <c r="E58" s="13"/>
      <c r="F58" s="13">
        <f t="shared" si="1"/>
        <v>3</v>
      </c>
      <c r="G58" s="14">
        <v>1</v>
      </c>
      <c r="H58" s="14">
        <v>0</v>
      </c>
      <c r="I58" s="14">
        <v>1</v>
      </c>
      <c r="J58" s="14">
        <v>0</v>
      </c>
      <c r="K58" s="14">
        <v>0</v>
      </c>
      <c r="L58" s="14">
        <v>1</v>
      </c>
      <c r="M58" s="15">
        <v>352.45299999999997</v>
      </c>
      <c r="N58" s="16" t="str">
        <f t="shared" si="2"/>
        <v>N</v>
      </c>
      <c r="O58" s="17">
        <v>6.6</v>
      </c>
      <c r="P58" s="16" t="s">
        <v>137</v>
      </c>
      <c r="Q58" s="18">
        <v>4.7</v>
      </c>
      <c r="R58" s="19">
        <v>20.64</v>
      </c>
      <c r="S58" s="19">
        <v>16.2</v>
      </c>
      <c r="T58" s="19">
        <v>26</v>
      </c>
      <c r="U58" s="20">
        <v>343.4</v>
      </c>
      <c r="V58" s="16" t="s">
        <v>7</v>
      </c>
      <c r="W58" s="21">
        <v>0.38</v>
      </c>
      <c r="X58" s="21">
        <v>0.08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0.54</v>
      </c>
      <c r="AE58" s="21">
        <v>6.61</v>
      </c>
      <c r="AF58" s="21">
        <v>5.91</v>
      </c>
      <c r="AG58" s="21">
        <v>11.5</v>
      </c>
      <c r="AH58" s="18" t="s">
        <v>4</v>
      </c>
      <c r="AI58" s="13" t="str">
        <f>VLOOKUP(AH58,'Hess and Brezowsky'!$B$2:$G$31,2,FALSE)</f>
        <v>Mixed</v>
      </c>
      <c r="AJ58" s="18" t="str">
        <f>VLOOKUP(AH58,'Hess and Brezowsky'!$B$2:$G$31,3,FALSE)</f>
        <v>A</v>
      </c>
      <c r="AK58" s="13" t="str">
        <f>VLOOKUP(AH58,'Hess and Brezowsky'!$B$2:$G$31,4,FALSE)</f>
        <v>Zonal Ridge across Central Europe</v>
      </c>
      <c r="AL58" s="29">
        <v>0.18767361111111111</v>
      </c>
      <c r="AM58" s="29">
        <v>0.49853009259259257</v>
      </c>
      <c r="AN58" s="30">
        <v>0.80939814814814814</v>
      </c>
    </row>
    <row r="59" spans="1:40" ht="15.75" customHeight="1" x14ac:dyDescent="0.2">
      <c r="A59" s="27">
        <v>44779</v>
      </c>
      <c r="B59" s="13">
        <v>2022</v>
      </c>
      <c r="C59" s="13">
        <v>218</v>
      </c>
      <c r="D59" s="13">
        <f t="shared" si="0"/>
        <v>7</v>
      </c>
      <c r="E59" s="13"/>
      <c r="F59" s="13">
        <f t="shared" si="1"/>
        <v>3</v>
      </c>
      <c r="G59" s="14">
        <v>1</v>
      </c>
      <c r="H59" s="14">
        <v>0</v>
      </c>
      <c r="I59" s="14">
        <v>1</v>
      </c>
      <c r="J59" s="14">
        <v>0</v>
      </c>
      <c r="K59" s="14">
        <v>0</v>
      </c>
      <c r="L59" s="14">
        <v>1</v>
      </c>
      <c r="M59" s="15">
        <v>44.908999999999999</v>
      </c>
      <c r="N59" s="16" t="str">
        <f t="shared" si="2"/>
        <v>NE</v>
      </c>
      <c r="O59" s="17">
        <v>9.4</v>
      </c>
      <c r="P59" s="16" t="s">
        <v>139</v>
      </c>
      <c r="Q59" s="18">
        <v>0</v>
      </c>
      <c r="R59" s="19">
        <v>20.100000000000001</v>
      </c>
      <c r="S59" s="19">
        <v>13.7</v>
      </c>
      <c r="T59" s="19">
        <v>25.7</v>
      </c>
      <c r="U59" s="20">
        <v>43.91</v>
      </c>
      <c r="V59" s="16" t="s">
        <v>10</v>
      </c>
      <c r="W59" s="21">
        <v>0</v>
      </c>
      <c r="X59" s="21">
        <v>1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9.66</v>
      </c>
      <c r="AF59" s="21">
        <v>9.58</v>
      </c>
      <c r="AG59" s="21">
        <v>14.2</v>
      </c>
      <c r="AH59" s="18" t="s">
        <v>4</v>
      </c>
      <c r="AI59" s="13" t="str">
        <f>VLOOKUP(AH59,'Hess and Brezowsky'!$B$2:$G$31,2,FALSE)</f>
        <v>Mixed</v>
      </c>
      <c r="AJ59" s="18" t="str">
        <f>VLOOKUP(AH59,'Hess and Brezowsky'!$B$2:$G$31,3,FALSE)</f>
        <v>A</v>
      </c>
      <c r="AK59" s="13" t="str">
        <f>VLOOKUP(AH59,'Hess and Brezowsky'!$B$2:$G$31,4,FALSE)</f>
        <v>Zonal Ridge across Central Europe</v>
      </c>
      <c r="AL59" s="29">
        <v>0.18863425925925925</v>
      </c>
      <c r="AM59" s="29">
        <v>0.49847222222222221</v>
      </c>
      <c r="AN59" s="30">
        <v>0.80831018518518516</v>
      </c>
    </row>
    <row r="60" spans="1:40" ht="15.75" customHeight="1" x14ac:dyDescent="0.2">
      <c r="A60" s="27">
        <v>44780</v>
      </c>
      <c r="B60" s="13">
        <v>2022</v>
      </c>
      <c r="C60" s="13">
        <v>219</v>
      </c>
      <c r="D60" s="13">
        <f t="shared" si="0"/>
        <v>1</v>
      </c>
      <c r="E60" s="13"/>
      <c r="F60" s="13">
        <f t="shared" si="1"/>
        <v>3</v>
      </c>
      <c r="G60" s="14">
        <v>1</v>
      </c>
      <c r="H60" s="14">
        <v>0</v>
      </c>
      <c r="I60" s="14">
        <v>1</v>
      </c>
      <c r="J60" s="14">
        <v>0</v>
      </c>
      <c r="K60" s="14">
        <v>0</v>
      </c>
      <c r="L60" s="14">
        <v>1</v>
      </c>
      <c r="M60" s="15">
        <v>36.447000000000003</v>
      </c>
      <c r="N60" s="16" t="str">
        <f t="shared" si="2"/>
        <v>NE</v>
      </c>
      <c r="O60" s="17">
        <v>9.5</v>
      </c>
      <c r="P60" s="16" t="s">
        <v>139</v>
      </c>
      <c r="Q60" s="18">
        <v>0</v>
      </c>
      <c r="R60" s="19">
        <v>21.59</v>
      </c>
      <c r="S60" s="19">
        <v>14.5</v>
      </c>
      <c r="T60" s="19">
        <v>28</v>
      </c>
      <c r="U60" s="20">
        <v>36.450000000000003</v>
      </c>
      <c r="V60" s="16" t="s">
        <v>10</v>
      </c>
      <c r="W60" s="21">
        <v>0.17</v>
      </c>
      <c r="X60" s="21">
        <v>0.83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9.65</v>
      </c>
      <c r="AF60" s="21">
        <v>9.4700000000000006</v>
      </c>
      <c r="AG60" s="21">
        <v>15.3</v>
      </c>
      <c r="AH60" s="18" t="s">
        <v>12</v>
      </c>
      <c r="AI60" s="13" t="str">
        <f>VLOOKUP(AH60,'Hess and Brezowsky'!$B$2:$G$31,2,FALSE)</f>
        <v>Undefined</v>
      </c>
      <c r="AJ60" s="18" t="str">
        <f>VLOOKUP(AH60,'Hess and Brezowsky'!$B$2:$G$31,3,FALSE)</f>
        <v>M</v>
      </c>
      <c r="AK60" s="13" t="str">
        <f>VLOOKUP(AH60,'Hess and Brezowsky'!$B$2:$G$31,4,FALSE)</f>
        <v>Transistion / Undefined</v>
      </c>
      <c r="AL60" s="29">
        <v>0.18959490740740742</v>
      </c>
      <c r="AM60" s="29">
        <v>0.49840277777777775</v>
      </c>
      <c r="AN60" s="30">
        <v>0.8071990740740741</v>
      </c>
    </row>
    <row r="61" spans="1:40" ht="15.75" customHeight="1" x14ac:dyDescent="0.2">
      <c r="A61" s="27">
        <v>44781</v>
      </c>
      <c r="B61" s="13">
        <v>2022</v>
      </c>
      <c r="C61" s="13">
        <v>220</v>
      </c>
      <c r="D61" s="13">
        <f t="shared" si="0"/>
        <v>2</v>
      </c>
      <c r="E61" s="13"/>
      <c r="F61" s="13">
        <f t="shared" si="1"/>
        <v>2</v>
      </c>
      <c r="G61" s="14">
        <v>0.41</v>
      </c>
      <c r="H61" s="14">
        <v>0</v>
      </c>
      <c r="I61" s="14">
        <v>1</v>
      </c>
      <c r="J61" s="14">
        <v>0</v>
      </c>
      <c r="K61" s="14">
        <v>0</v>
      </c>
      <c r="L61" s="14">
        <v>1</v>
      </c>
      <c r="M61" s="15">
        <v>36.116999999999997</v>
      </c>
      <c r="N61" s="16" t="str">
        <f t="shared" si="2"/>
        <v>NE</v>
      </c>
      <c r="O61" s="17">
        <v>8.5</v>
      </c>
      <c r="P61" s="16" t="s">
        <v>139</v>
      </c>
      <c r="Q61" s="18">
        <v>0</v>
      </c>
      <c r="R61" s="19">
        <v>22.9</v>
      </c>
      <c r="S61" s="19">
        <v>15.7</v>
      </c>
      <c r="T61" s="19">
        <v>29.5</v>
      </c>
      <c r="U61" s="20">
        <v>34.340000000000003</v>
      </c>
      <c r="V61" s="16" t="s">
        <v>10</v>
      </c>
      <c r="W61" s="21">
        <v>0</v>
      </c>
      <c r="X61" s="21">
        <v>1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8.75</v>
      </c>
      <c r="AF61" s="21">
        <v>8.6999999999999993</v>
      </c>
      <c r="AG61" s="21">
        <v>13.9</v>
      </c>
      <c r="AH61" s="18" t="s">
        <v>22</v>
      </c>
      <c r="AI61" s="13" t="str">
        <f>VLOOKUP(AH61,'Hess and Brezowsky'!$B$2:$G$31,2,FALSE)</f>
        <v>Meridional</v>
      </c>
      <c r="AJ61" s="18" t="str">
        <f>VLOOKUP(AH61,'Hess and Brezowsky'!$B$2:$G$31,3,FALSE)</f>
        <v>A</v>
      </c>
      <c r="AK61" s="13" t="str">
        <f>VLOOKUP(AH61,'Hess and Brezowsky'!$B$2:$G$31,4,FALSE)</f>
        <v>Anticyclonic North-Easterly</v>
      </c>
      <c r="AL61" s="29">
        <v>0.19056712962962963</v>
      </c>
      <c r="AM61" s="29">
        <v>0.49832175925925926</v>
      </c>
      <c r="AN61" s="30">
        <v>0.80607638888888888</v>
      </c>
    </row>
    <row r="62" spans="1:40" ht="15.75" customHeight="1" x14ac:dyDescent="0.2">
      <c r="A62" s="27">
        <v>44782</v>
      </c>
      <c r="B62" s="13">
        <v>2022</v>
      </c>
      <c r="C62" s="13">
        <v>221</v>
      </c>
      <c r="D62" s="13">
        <f t="shared" si="0"/>
        <v>3</v>
      </c>
      <c r="E62" s="13"/>
      <c r="F62" s="13">
        <f t="shared" si="1"/>
        <v>3</v>
      </c>
      <c r="G62" s="14">
        <v>1</v>
      </c>
      <c r="H62" s="14">
        <v>0</v>
      </c>
      <c r="I62" s="14">
        <v>1</v>
      </c>
      <c r="J62" s="14">
        <v>0</v>
      </c>
      <c r="K62" s="14">
        <v>0</v>
      </c>
      <c r="L62" s="14">
        <v>1</v>
      </c>
      <c r="M62" s="15">
        <v>36.384999999999998</v>
      </c>
      <c r="N62" s="16" t="str">
        <f t="shared" si="2"/>
        <v>NE</v>
      </c>
      <c r="O62" s="17">
        <v>8.6</v>
      </c>
      <c r="P62" s="16" t="s">
        <v>139</v>
      </c>
      <c r="Q62" s="18">
        <v>0</v>
      </c>
      <c r="R62" s="19">
        <v>24.47</v>
      </c>
      <c r="S62" s="19">
        <v>17</v>
      </c>
      <c r="T62" s="19">
        <v>31.9</v>
      </c>
      <c r="U62" s="20">
        <v>31.92</v>
      </c>
      <c r="V62" s="16" t="s">
        <v>10</v>
      </c>
      <c r="W62" s="21">
        <v>0.08</v>
      </c>
      <c r="X62" s="21">
        <v>0.92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7.8</v>
      </c>
      <c r="AF62" s="21">
        <v>7.75</v>
      </c>
      <c r="AG62" s="21">
        <v>14.3</v>
      </c>
      <c r="AH62" s="18" t="s">
        <v>22</v>
      </c>
      <c r="AI62" s="13" t="str">
        <f>VLOOKUP(AH62,'Hess and Brezowsky'!$B$2:$G$31,2,FALSE)</f>
        <v>Meridional</v>
      </c>
      <c r="AJ62" s="18" t="str">
        <f>VLOOKUP(AH62,'Hess and Brezowsky'!$B$2:$G$31,3,FALSE)</f>
        <v>A</v>
      </c>
      <c r="AK62" s="13" t="str">
        <f>VLOOKUP(AH62,'Hess and Brezowsky'!$B$2:$G$31,4,FALSE)</f>
        <v>Anticyclonic North-Easterly</v>
      </c>
      <c r="AL62" s="29">
        <v>0.19153935185185186</v>
      </c>
      <c r="AM62" s="29">
        <v>0.49824074074074076</v>
      </c>
      <c r="AN62" s="30">
        <v>0.80494212962962963</v>
      </c>
    </row>
    <row r="63" spans="1:40" ht="15.75" customHeight="1" x14ac:dyDescent="0.2">
      <c r="A63" s="27">
        <v>44783</v>
      </c>
      <c r="B63" s="13">
        <v>2022</v>
      </c>
      <c r="C63" s="13">
        <v>222</v>
      </c>
      <c r="D63" s="13">
        <f t="shared" si="0"/>
        <v>4</v>
      </c>
      <c r="E63" s="13"/>
      <c r="F63" s="13">
        <f t="shared" si="1"/>
        <v>3</v>
      </c>
      <c r="G63" s="14">
        <v>0.83</v>
      </c>
      <c r="H63" s="14">
        <v>0</v>
      </c>
      <c r="I63" s="14">
        <v>1</v>
      </c>
      <c r="J63" s="14">
        <v>0</v>
      </c>
      <c r="K63" s="14">
        <v>0</v>
      </c>
      <c r="L63" s="14">
        <v>0.79</v>
      </c>
      <c r="M63" s="15">
        <v>68.283000000000001</v>
      </c>
      <c r="N63" s="16" t="str">
        <f t="shared" si="2"/>
        <v>E</v>
      </c>
      <c r="O63" s="17">
        <v>7.2</v>
      </c>
      <c r="P63" s="16" t="s">
        <v>139</v>
      </c>
      <c r="Q63" s="18">
        <v>0</v>
      </c>
      <c r="R63" s="19">
        <v>26.34</v>
      </c>
      <c r="S63" s="19">
        <v>18.8</v>
      </c>
      <c r="T63" s="19">
        <v>33.4</v>
      </c>
      <c r="U63" s="20">
        <v>64.63</v>
      </c>
      <c r="V63" s="16" t="s">
        <v>10</v>
      </c>
      <c r="W63" s="21">
        <v>0</v>
      </c>
      <c r="X63" s="21">
        <v>0.62</v>
      </c>
      <c r="Y63" s="21">
        <v>0.38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7.02</v>
      </c>
      <c r="AF63" s="21">
        <v>6.84</v>
      </c>
      <c r="AG63" s="21">
        <v>10.8</v>
      </c>
      <c r="AH63" s="18" t="s">
        <v>22</v>
      </c>
      <c r="AI63" s="13" t="str">
        <f>VLOOKUP(AH63,'Hess and Brezowsky'!$B$2:$G$31,2,FALSE)</f>
        <v>Meridional</v>
      </c>
      <c r="AJ63" s="18" t="str">
        <f>VLOOKUP(AH63,'Hess and Brezowsky'!$B$2:$G$31,3,FALSE)</f>
        <v>A</v>
      </c>
      <c r="AK63" s="13" t="str">
        <f>VLOOKUP(AH63,'Hess and Brezowsky'!$B$2:$G$31,4,FALSE)</f>
        <v>Anticyclonic North-Easterly</v>
      </c>
      <c r="AL63" s="29">
        <v>0.19251157407407407</v>
      </c>
      <c r="AM63" s="29">
        <v>0.49814814814814817</v>
      </c>
      <c r="AN63" s="30">
        <v>0.80378472222222219</v>
      </c>
    </row>
    <row r="64" spans="1:40" ht="15.75" customHeight="1" x14ac:dyDescent="0.2">
      <c r="A64" s="27">
        <v>44784</v>
      </c>
      <c r="B64" s="13">
        <v>2022</v>
      </c>
      <c r="C64" s="13">
        <v>223</v>
      </c>
      <c r="D64" s="13">
        <f t="shared" si="0"/>
        <v>5</v>
      </c>
      <c r="E64" s="13"/>
      <c r="F64" s="13">
        <f t="shared" si="1"/>
        <v>3</v>
      </c>
      <c r="G64" s="14">
        <v>0.95</v>
      </c>
      <c r="H64" s="14">
        <v>0</v>
      </c>
      <c r="I64" s="14">
        <v>1</v>
      </c>
      <c r="J64" s="14">
        <v>0</v>
      </c>
      <c r="K64" s="14">
        <v>0</v>
      </c>
      <c r="L64" s="14">
        <v>0.87</v>
      </c>
      <c r="M64" s="15">
        <v>84.938999999999993</v>
      </c>
      <c r="N64" s="16" t="str">
        <f t="shared" si="2"/>
        <v>E</v>
      </c>
      <c r="O64" s="17">
        <v>8</v>
      </c>
      <c r="P64" s="16" t="s">
        <v>139</v>
      </c>
      <c r="Q64" s="18">
        <v>0</v>
      </c>
      <c r="R64" s="19">
        <v>26.93</v>
      </c>
      <c r="S64" s="19">
        <v>20</v>
      </c>
      <c r="T64" s="19">
        <v>33.1</v>
      </c>
      <c r="U64" s="20">
        <v>84.4</v>
      </c>
      <c r="V64" s="16" t="s">
        <v>9</v>
      </c>
      <c r="W64" s="21">
        <v>0</v>
      </c>
      <c r="X64" s="21">
        <v>0.21</v>
      </c>
      <c r="Y64" s="21">
        <v>0.79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7.92</v>
      </c>
      <c r="AF64" s="21">
        <v>7.71</v>
      </c>
      <c r="AG64" s="21">
        <v>11.4</v>
      </c>
      <c r="AH64" s="18" t="s">
        <v>22</v>
      </c>
      <c r="AI64" s="13" t="str">
        <f>VLOOKUP(AH64,'Hess and Brezowsky'!$B$2:$G$31,2,FALSE)</f>
        <v>Meridional</v>
      </c>
      <c r="AJ64" s="18" t="str">
        <f>VLOOKUP(AH64,'Hess and Brezowsky'!$B$2:$G$31,3,FALSE)</f>
        <v>A</v>
      </c>
      <c r="AK64" s="13" t="str">
        <f>VLOOKUP(AH64,'Hess and Brezowsky'!$B$2:$G$31,4,FALSE)</f>
        <v>Anticyclonic North-Easterly</v>
      </c>
      <c r="AL64" s="29">
        <v>0.19348379629629631</v>
      </c>
      <c r="AM64" s="29">
        <v>0.49805555555555553</v>
      </c>
      <c r="AN64" s="30">
        <v>0.80261574074074071</v>
      </c>
    </row>
    <row r="65" spans="1:40" ht="15.75" customHeight="1" x14ac:dyDescent="0.2">
      <c r="A65" s="27">
        <v>44785</v>
      </c>
      <c r="B65" s="13">
        <v>2022</v>
      </c>
      <c r="C65" s="13">
        <v>224</v>
      </c>
      <c r="D65" s="13">
        <f t="shared" si="0"/>
        <v>6</v>
      </c>
      <c r="E65" s="13"/>
      <c r="F65" s="13">
        <f t="shared" si="1"/>
        <v>3</v>
      </c>
      <c r="G65" s="14">
        <v>0.75</v>
      </c>
      <c r="H65" s="14">
        <v>0</v>
      </c>
      <c r="I65" s="14">
        <v>1</v>
      </c>
      <c r="J65" s="14">
        <v>0</v>
      </c>
      <c r="K65" s="14">
        <v>0</v>
      </c>
      <c r="L65" s="14">
        <v>0.75</v>
      </c>
      <c r="M65" s="15">
        <v>88.004999999999995</v>
      </c>
      <c r="N65" s="16" t="str">
        <f t="shared" si="2"/>
        <v>E</v>
      </c>
      <c r="O65" s="17">
        <v>7.3</v>
      </c>
      <c r="P65" s="16" t="s">
        <v>139</v>
      </c>
      <c r="Q65" s="18">
        <v>0</v>
      </c>
      <c r="R65" s="19">
        <v>27.65</v>
      </c>
      <c r="S65" s="19">
        <v>20.399999999999999</v>
      </c>
      <c r="T65" s="19">
        <v>34.5</v>
      </c>
      <c r="U65" s="20">
        <v>91.62</v>
      </c>
      <c r="V65" s="16" t="s">
        <v>9</v>
      </c>
      <c r="W65" s="21">
        <v>0</v>
      </c>
      <c r="X65" s="21">
        <v>0</v>
      </c>
      <c r="Y65" s="21">
        <v>0.96</v>
      </c>
      <c r="Z65" s="21">
        <v>0.04</v>
      </c>
      <c r="AA65" s="21">
        <v>0</v>
      </c>
      <c r="AB65" s="21">
        <v>0</v>
      </c>
      <c r="AC65" s="21">
        <v>0</v>
      </c>
      <c r="AD65" s="21">
        <v>0</v>
      </c>
      <c r="AE65" s="21">
        <v>7.35</v>
      </c>
      <c r="AF65" s="21">
        <v>7.23</v>
      </c>
      <c r="AG65" s="21">
        <v>13.4</v>
      </c>
      <c r="AH65" s="18" t="s">
        <v>22</v>
      </c>
      <c r="AI65" s="13" t="str">
        <f>VLOOKUP(AH65,'Hess and Brezowsky'!$B$2:$G$31,2,FALSE)</f>
        <v>Meridional</v>
      </c>
      <c r="AJ65" s="18" t="str">
        <f>VLOOKUP(AH65,'Hess and Brezowsky'!$B$2:$G$31,3,FALSE)</f>
        <v>A</v>
      </c>
      <c r="AK65" s="13" t="str">
        <f>VLOOKUP(AH65,'Hess and Brezowsky'!$B$2:$G$31,4,FALSE)</f>
        <v>Anticyclonic North-Easterly</v>
      </c>
      <c r="AL65" s="29">
        <v>0.19446759259259258</v>
      </c>
      <c r="AM65" s="29">
        <v>0.4979513888888889</v>
      </c>
      <c r="AN65" s="30">
        <v>0.80142361111111116</v>
      </c>
    </row>
    <row r="66" spans="1:40" ht="15.75" customHeight="1" x14ac:dyDescent="0.2">
      <c r="A66" s="27">
        <v>44786</v>
      </c>
      <c r="B66" s="13">
        <v>2022</v>
      </c>
      <c r="C66" s="13">
        <v>225</v>
      </c>
      <c r="D66" s="13">
        <f t="shared" ref="D66:D129" si="3">WEEKDAY(A66)</f>
        <v>7</v>
      </c>
      <c r="E66" s="13"/>
      <c r="F66" s="13">
        <f t="shared" si="1"/>
        <v>3</v>
      </c>
      <c r="G66" s="14">
        <v>0.83</v>
      </c>
      <c r="H66" s="14">
        <v>0</v>
      </c>
      <c r="I66" s="14">
        <v>1</v>
      </c>
      <c r="J66" s="14">
        <v>0</v>
      </c>
      <c r="K66" s="14">
        <v>0</v>
      </c>
      <c r="L66" s="14">
        <v>0.87</v>
      </c>
      <c r="M66" s="15">
        <v>104.53400000000001</v>
      </c>
      <c r="N66" s="16" t="str">
        <f t="shared" ref="N66:N129" si="4">IF(AND(M66 &gt; 22.5,M66&lt;=67.6),"NE",IF(AND(M66 &gt; 67.5,M66&lt;=112.5),"E",IF(AND(M66 &gt; 112.5,M66&lt;=157.5),"SE",IF(AND(M66 &gt; 157.5,M66&lt;=202.5),"S",IF(AND(M66 &gt; 202.5,M66&lt;=247.5),"SW",IF(AND(M66 &gt; 247.5,M66&lt;=292.5),"W",IF(AND(M66 &gt; 292.5,M66&lt;=337.5),"NW",IF(AND(M66 &gt; 22.5,M66&lt;=360),"N","N"))))))))</f>
        <v>E</v>
      </c>
      <c r="O66" s="17">
        <v>7.3</v>
      </c>
      <c r="P66" s="16" t="s">
        <v>139</v>
      </c>
      <c r="Q66" s="18">
        <v>0</v>
      </c>
      <c r="R66" s="19">
        <v>27.18</v>
      </c>
      <c r="S66" s="19">
        <v>20.5</v>
      </c>
      <c r="T66" s="19">
        <v>33.200000000000003</v>
      </c>
      <c r="U66" s="20">
        <v>107.4</v>
      </c>
      <c r="V66" s="16" t="s">
        <v>9</v>
      </c>
      <c r="W66" s="21">
        <v>0</v>
      </c>
      <c r="X66" s="21">
        <v>0</v>
      </c>
      <c r="Y66" s="21">
        <v>0.71</v>
      </c>
      <c r="Z66" s="21">
        <v>0.28999999999999998</v>
      </c>
      <c r="AA66" s="21">
        <v>0</v>
      </c>
      <c r="AB66" s="21">
        <v>0</v>
      </c>
      <c r="AC66" s="21">
        <v>0</v>
      </c>
      <c r="AD66" s="21">
        <v>0</v>
      </c>
      <c r="AE66" s="21">
        <v>6.87</v>
      </c>
      <c r="AF66" s="21">
        <v>6.72</v>
      </c>
      <c r="AG66" s="21">
        <v>13.5</v>
      </c>
      <c r="AH66" s="18" t="s">
        <v>17</v>
      </c>
      <c r="AI66" s="13" t="str">
        <f>VLOOKUP(AH66,'Hess and Brezowsky'!$B$2:$G$31,2,FALSE)</f>
        <v>Meridional</v>
      </c>
      <c r="AJ66" s="18" t="str">
        <f>VLOOKUP(AH66,'Hess and Brezowsky'!$B$2:$G$31,3,FALSE)</f>
        <v>C</v>
      </c>
      <c r="AK66" s="13" t="str">
        <f>VLOOKUP(AH66,'Hess and Brezowsky'!$B$2:$G$31,4,FALSE)</f>
        <v>Scandinavian High, Trough Central Europe</v>
      </c>
      <c r="AL66" s="29">
        <v>0.19545138888888888</v>
      </c>
      <c r="AM66" s="29">
        <v>0.49783564814814812</v>
      </c>
      <c r="AN66" s="30">
        <v>0.80021990740740745</v>
      </c>
    </row>
    <row r="67" spans="1:40" ht="15.75" customHeight="1" x14ac:dyDescent="0.2">
      <c r="A67" s="27">
        <v>44787</v>
      </c>
      <c r="B67" s="13">
        <v>2022</v>
      </c>
      <c r="C67" s="13">
        <v>226</v>
      </c>
      <c r="D67" s="13">
        <f t="shared" si="3"/>
        <v>1</v>
      </c>
      <c r="E67" s="13"/>
      <c r="F67" s="13">
        <f t="shared" si="1"/>
        <v>3</v>
      </c>
      <c r="G67" s="14">
        <v>1</v>
      </c>
      <c r="H67" s="14">
        <v>0</v>
      </c>
      <c r="I67" s="14">
        <v>1</v>
      </c>
      <c r="J67" s="14">
        <v>0</v>
      </c>
      <c r="K67" s="14">
        <v>0</v>
      </c>
      <c r="L67" s="14">
        <v>1</v>
      </c>
      <c r="M67" s="15">
        <v>192.81700000000001</v>
      </c>
      <c r="N67" s="16" t="str">
        <f t="shared" si="4"/>
        <v>S</v>
      </c>
      <c r="O67" s="17">
        <v>6.5</v>
      </c>
      <c r="P67" s="16" t="s">
        <v>137</v>
      </c>
      <c r="Q67" s="18">
        <v>11.3</v>
      </c>
      <c r="R67" s="19">
        <v>22.39</v>
      </c>
      <c r="S67" s="19">
        <v>17.8</v>
      </c>
      <c r="T67" s="19">
        <v>28.2</v>
      </c>
      <c r="U67" s="20">
        <v>199.38</v>
      </c>
      <c r="V67" s="16" t="s">
        <v>13</v>
      </c>
      <c r="W67" s="21">
        <v>0</v>
      </c>
      <c r="X67" s="21">
        <v>0</v>
      </c>
      <c r="Y67" s="21">
        <v>0.12</v>
      </c>
      <c r="Z67" s="21">
        <v>0.17</v>
      </c>
      <c r="AA67" s="21">
        <v>0.12</v>
      </c>
      <c r="AB67" s="21">
        <v>0.46</v>
      </c>
      <c r="AC67" s="21">
        <v>0.12</v>
      </c>
      <c r="AD67" s="21">
        <v>0</v>
      </c>
      <c r="AE67" s="21">
        <v>5.82</v>
      </c>
      <c r="AF67" s="21">
        <v>3.49</v>
      </c>
      <c r="AG67" s="21">
        <v>11.5</v>
      </c>
      <c r="AH67" s="18" t="s">
        <v>17</v>
      </c>
      <c r="AI67" s="13" t="str">
        <f>VLOOKUP(AH67,'Hess and Brezowsky'!$B$2:$G$31,2,FALSE)</f>
        <v>Meridional</v>
      </c>
      <c r="AJ67" s="18" t="str">
        <f>VLOOKUP(AH67,'Hess and Brezowsky'!$B$2:$G$31,3,FALSE)</f>
        <v>C</v>
      </c>
      <c r="AK67" s="13" t="str">
        <f>VLOOKUP(AH67,'Hess and Brezowsky'!$B$2:$G$31,4,FALSE)</f>
        <v>Scandinavian High, Trough Central Europe</v>
      </c>
      <c r="AL67" s="29">
        <v>0.19643518518518518</v>
      </c>
      <c r="AM67" s="29">
        <v>0.4977199074074074</v>
      </c>
      <c r="AN67" s="30">
        <v>0.79900462962962959</v>
      </c>
    </row>
    <row r="68" spans="1:40" ht="15.75" customHeight="1" x14ac:dyDescent="0.2">
      <c r="A68" s="27">
        <v>44788</v>
      </c>
      <c r="B68" s="13">
        <v>2022</v>
      </c>
      <c r="C68" s="13">
        <v>227</v>
      </c>
      <c r="D68" s="13">
        <f t="shared" si="3"/>
        <v>2</v>
      </c>
      <c r="E68" s="13"/>
      <c r="F68" s="13">
        <f t="shared" si="1"/>
        <v>3</v>
      </c>
      <c r="G68" s="14">
        <v>1</v>
      </c>
      <c r="H68" s="14">
        <v>0</v>
      </c>
      <c r="I68" s="14">
        <v>1</v>
      </c>
      <c r="J68" s="14">
        <v>0</v>
      </c>
      <c r="K68" s="14">
        <v>0</v>
      </c>
      <c r="L68" s="14">
        <v>1</v>
      </c>
      <c r="M68" s="15">
        <v>230.06</v>
      </c>
      <c r="N68" s="16" t="str">
        <f t="shared" si="4"/>
        <v>SW</v>
      </c>
      <c r="O68" s="17">
        <v>5.2</v>
      </c>
      <c r="P68" s="16" t="s">
        <v>137</v>
      </c>
      <c r="Q68" s="18">
        <v>0.2</v>
      </c>
      <c r="R68" s="19">
        <v>20.82</v>
      </c>
      <c r="S68" s="19">
        <v>16.399999999999999</v>
      </c>
      <c r="T68" s="19">
        <v>26.9</v>
      </c>
      <c r="U68" s="20">
        <v>229.08</v>
      </c>
      <c r="V68" s="16" t="s">
        <v>5</v>
      </c>
      <c r="W68" s="21">
        <v>0</v>
      </c>
      <c r="X68" s="21">
        <v>0</v>
      </c>
      <c r="Y68" s="21">
        <v>0</v>
      </c>
      <c r="Z68" s="21">
        <v>0.12</v>
      </c>
      <c r="AA68" s="21">
        <v>0.25</v>
      </c>
      <c r="AB68" s="21">
        <v>0.33</v>
      </c>
      <c r="AC68" s="21">
        <v>0.25</v>
      </c>
      <c r="AD68" s="21">
        <v>0.04</v>
      </c>
      <c r="AE68" s="21">
        <v>4.41</v>
      </c>
      <c r="AF68" s="21">
        <v>3.27</v>
      </c>
      <c r="AG68" s="21">
        <v>9.9</v>
      </c>
      <c r="AH68" s="18" t="s">
        <v>17</v>
      </c>
      <c r="AI68" s="13" t="str">
        <f>VLOOKUP(AH68,'Hess and Brezowsky'!$B$2:$G$31,2,FALSE)</f>
        <v>Meridional</v>
      </c>
      <c r="AJ68" s="18" t="str">
        <f>VLOOKUP(AH68,'Hess and Brezowsky'!$B$2:$G$31,3,FALSE)</f>
        <v>C</v>
      </c>
      <c r="AK68" s="13" t="str">
        <f>VLOOKUP(AH68,'Hess and Brezowsky'!$B$2:$G$31,4,FALSE)</f>
        <v>Scandinavian High, Trough Central Europe</v>
      </c>
      <c r="AL68" s="29">
        <v>0.19741898148148149</v>
      </c>
      <c r="AM68" s="29">
        <v>0.49759259259259259</v>
      </c>
      <c r="AN68" s="30">
        <v>0.79776620370370366</v>
      </c>
    </row>
    <row r="69" spans="1:40" ht="15.75" customHeight="1" x14ac:dyDescent="0.2">
      <c r="A69" s="27">
        <v>44789</v>
      </c>
      <c r="B69" s="13">
        <v>2022</v>
      </c>
      <c r="C69" s="13">
        <v>228</v>
      </c>
      <c r="D69" s="13">
        <f t="shared" si="3"/>
        <v>3</v>
      </c>
      <c r="E69" s="13"/>
      <c r="F69" s="13">
        <f t="shared" si="1"/>
        <v>3</v>
      </c>
      <c r="G69" s="14">
        <v>1</v>
      </c>
      <c r="H69" s="14">
        <v>0</v>
      </c>
      <c r="I69" s="14">
        <v>1</v>
      </c>
      <c r="J69" s="14">
        <v>0</v>
      </c>
      <c r="K69" s="14">
        <v>0</v>
      </c>
      <c r="L69" s="14">
        <v>1</v>
      </c>
      <c r="M69" s="15">
        <v>169.15100000000001</v>
      </c>
      <c r="N69" s="16" t="str">
        <f t="shared" si="4"/>
        <v>S</v>
      </c>
      <c r="O69" s="17">
        <v>4.7</v>
      </c>
      <c r="P69" s="16" t="s">
        <v>137</v>
      </c>
      <c r="Q69" s="18">
        <v>47</v>
      </c>
      <c r="R69" s="19">
        <v>20.96</v>
      </c>
      <c r="S69" s="19">
        <v>17.8</v>
      </c>
      <c r="T69" s="19">
        <v>28.3</v>
      </c>
      <c r="U69" s="20">
        <v>156.93</v>
      </c>
      <c r="V69" s="16" t="s">
        <v>11</v>
      </c>
      <c r="W69" s="21">
        <v>0</v>
      </c>
      <c r="X69" s="21">
        <v>0.12</v>
      </c>
      <c r="Y69" s="21">
        <v>0.08</v>
      </c>
      <c r="Z69" s="21">
        <v>0.21</v>
      </c>
      <c r="AA69" s="21">
        <v>0.33</v>
      </c>
      <c r="AB69" s="21">
        <v>0.21</v>
      </c>
      <c r="AC69" s="21">
        <v>0.04</v>
      </c>
      <c r="AD69" s="21">
        <v>0</v>
      </c>
      <c r="AE69" s="21">
        <v>4.21</v>
      </c>
      <c r="AF69" s="21">
        <v>2.48</v>
      </c>
      <c r="AG69" s="21">
        <v>11.5</v>
      </c>
      <c r="AH69" s="18" t="s">
        <v>23</v>
      </c>
      <c r="AI69" s="13" t="str">
        <f>VLOOKUP(AH69,'Hess and Brezowsky'!$B$2:$G$31,2,FALSE)</f>
        <v>Meridional</v>
      </c>
      <c r="AJ69" s="18" t="str">
        <f>VLOOKUP(AH69,'Hess and Brezowsky'!$B$2:$G$31,3,FALSE)</f>
        <v>M</v>
      </c>
      <c r="AK69" s="13" t="str">
        <f>VLOOKUP(AH69,'Hess and Brezowsky'!$B$2:$G$31,4,FALSE)</f>
        <v>Trough over Wester Europe</v>
      </c>
      <c r="AL69" s="29">
        <v>0.19840277777777779</v>
      </c>
      <c r="AM69" s="29">
        <v>0.49746527777777777</v>
      </c>
      <c r="AN69" s="30">
        <v>0.79652777777777772</v>
      </c>
    </row>
    <row r="70" spans="1:40" ht="15.75" customHeight="1" x14ac:dyDescent="0.2">
      <c r="A70" s="27">
        <v>44790</v>
      </c>
      <c r="B70" s="13">
        <v>2022</v>
      </c>
      <c r="C70" s="13">
        <v>229</v>
      </c>
      <c r="D70" s="13">
        <f t="shared" si="3"/>
        <v>4</v>
      </c>
      <c r="E70" s="13"/>
      <c r="F70" s="13">
        <f t="shared" si="1"/>
        <v>3</v>
      </c>
      <c r="G70" s="14">
        <v>1</v>
      </c>
      <c r="H70" s="14">
        <v>0</v>
      </c>
      <c r="I70" s="14">
        <v>1</v>
      </c>
      <c r="J70" s="14">
        <v>0</v>
      </c>
      <c r="K70" s="14">
        <v>0</v>
      </c>
      <c r="L70" s="14">
        <v>1</v>
      </c>
      <c r="M70" s="15">
        <v>174.249</v>
      </c>
      <c r="N70" s="16" t="str">
        <f t="shared" si="4"/>
        <v>S</v>
      </c>
      <c r="O70" s="17">
        <v>3.9</v>
      </c>
      <c r="P70" s="16" t="s">
        <v>137</v>
      </c>
      <c r="Q70" s="18">
        <v>0.4</v>
      </c>
      <c r="R70" s="19">
        <v>20.27</v>
      </c>
      <c r="S70" s="19">
        <v>17.600000000000001</v>
      </c>
      <c r="T70" s="19">
        <v>27.6</v>
      </c>
      <c r="U70" s="20">
        <v>175.76</v>
      </c>
      <c r="V70" s="16" t="s">
        <v>13</v>
      </c>
      <c r="W70" s="21">
        <v>0.08</v>
      </c>
      <c r="X70" s="21">
        <v>0</v>
      </c>
      <c r="Y70" s="21">
        <v>0.04</v>
      </c>
      <c r="Z70" s="21">
        <v>0.04</v>
      </c>
      <c r="AA70" s="21">
        <v>0.54</v>
      </c>
      <c r="AB70" s="21">
        <v>0.12</v>
      </c>
      <c r="AC70" s="21">
        <v>0.08</v>
      </c>
      <c r="AD70" s="21">
        <v>0.08</v>
      </c>
      <c r="AE70" s="21">
        <v>3.42</v>
      </c>
      <c r="AF70" s="21">
        <v>2.65</v>
      </c>
      <c r="AG70" s="21">
        <v>10.4</v>
      </c>
      <c r="AH70" s="18" t="s">
        <v>23</v>
      </c>
      <c r="AI70" s="13" t="str">
        <f>VLOOKUP(AH70,'Hess and Brezowsky'!$B$2:$G$31,2,FALSE)</f>
        <v>Meridional</v>
      </c>
      <c r="AJ70" s="18" t="str">
        <f>VLOOKUP(AH70,'Hess and Brezowsky'!$B$2:$G$31,3,FALSE)</f>
        <v>M</v>
      </c>
      <c r="AK70" s="13" t="str">
        <f>VLOOKUP(AH70,'Hess and Brezowsky'!$B$2:$G$31,4,FALSE)</f>
        <v>Trough over Wester Europe</v>
      </c>
      <c r="AL70" s="29">
        <v>0.19938657407407406</v>
      </c>
      <c r="AM70" s="29">
        <v>0.49732638888888892</v>
      </c>
      <c r="AN70" s="30">
        <v>0.79526620370370371</v>
      </c>
    </row>
    <row r="71" spans="1:40" ht="15.75" customHeight="1" x14ac:dyDescent="0.2">
      <c r="A71" s="27">
        <v>44791</v>
      </c>
      <c r="B71" s="13">
        <v>2022</v>
      </c>
      <c r="C71" s="13">
        <v>230</v>
      </c>
      <c r="D71" s="13">
        <f t="shared" si="3"/>
        <v>5</v>
      </c>
      <c r="E71" s="13"/>
      <c r="F71" s="13">
        <f t="shared" si="1"/>
        <v>3</v>
      </c>
      <c r="G71" s="14">
        <v>1</v>
      </c>
      <c r="H71" s="14">
        <v>0</v>
      </c>
      <c r="I71" s="14">
        <v>1</v>
      </c>
      <c r="J71" s="14">
        <v>0</v>
      </c>
      <c r="K71" s="14">
        <v>0</v>
      </c>
      <c r="L71" s="14">
        <v>1</v>
      </c>
      <c r="M71" s="15">
        <v>324.971</v>
      </c>
      <c r="N71" s="16" t="str">
        <f t="shared" si="4"/>
        <v>NW</v>
      </c>
      <c r="O71" s="17">
        <v>4.5999999999999996</v>
      </c>
      <c r="P71" s="16" t="s">
        <v>137</v>
      </c>
      <c r="Q71" s="18">
        <v>0.2</v>
      </c>
      <c r="R71" s="19">
        <v>22.51</v>
      </c>
      <c r="S71" s="19">
        <v>17</v>
      </c>
      <c r="T71" s="19">
        <v>28.2</v>
      </c>
      <c r="U71" s="20">
        <v>317.18</v>
      </c>
      <c r="V71" s="16" t="s">
        <v>6</v>
      </c>
      <c r="W71" s="21">
        <v>0.12</v>
      </c>
      <c r="X71" s="21">
        <v>0</v>
      </c>
      <c r="Y71" s="21">
        <v>0.04</v>
      </c>
      <c r="Z71" s="21">
        <v>0.04</v>
      </c>
      <c r="AA71" s="21">
        <v>0</v>
      </c>
      <c r="AB71" s="21">
        <v>0</v>
      </c>
      <c r="AC71" s="21">
        <v>0.12</v>
      </c>
      <c r="AD71" s="21">
        <v>0.67</v>
      </c>
      <c r="AE71" s="21">
        <v>4.84</v>
      </c>
      <c r="AF71" s="21">
        <v>4.3499999999999996</v>
      </c>
      <c r="AG71" s="21">
        <v>10.5</v>
      </c>
      <c r="AH71" s="18" t="s">
        <v>23</v>
      </c>
      <c r="AI71" s="13" t="str">
        <f>VLOOKUP(AH71,'Hess and Brezowsky'!$B$2:$G$31,2,FALSE)</f>
        <v>Meridional</v>
      </c>
      <c r="AJ71" s="18" t="str">
        <f>VLOOKUP(AH71,'Hess and Brezowsky'!$B$2:$G$31,3,FALSE)</f>
        <v>M</v>
      </c>
      <c r="AK71" s="13" t="str">
        <f>VLOOKUP(AH71,'Hess and Brezowsky'!$B$2:$G$31,4,FALSE)</f>
        <v>Trough over Wester Europe</v>
      </c>
      <c r="AL71" s="29">
        <v>0.20038194444444443</v>
      </c>
      <c r="AM71" s="29">
        <v>0.4971875</v>
      </c>
      <c r="AN71" s="30">
        <v>0.79399305555555555</v>
      </c>
    </row>
    <row r="72" spans="1:40" ht="15.75" customHeight="1" x14ac:dyDescent="0.2">
      <c r="A72" s="27">
        <v>44792</v>
      </c>
      <c r="B72" s="13">
        <v>2022</v>
      </c>
      <c r="C72" s="13">
        <v>231</v>
      </c>
      <c r="D72" s="13">
        <f t="shared" si="3"/>
        <v>6</v>
      </c>
      <c r="E72" s="13"/>
      <c r="F72" s="13">
        <f t="shared" si="1"/>
        <v>2</v>
      </c>
      <c r="G72" s="14">
        <v>0</v>
      </c>
      <c r="H72" s="14">
        <v>0</v>
      </c>
      <c r="I72" s="14">
        <v>1</v>
      </c>
      <c r="J72" s="14">
        <v>0</v>
      </c>
      <c r="K72" s="14">
        <v>0</v>
      </c>
      <c r="L72" s="14">
        <v>1</v>
      </c>
      <c r="M72" s="15">
        <v>297.08800000000002</v>
      </c>
      <c r="N72" s="16" t="str">
        <f t="shared" si="4"/>
        <v>NW</v>
      </c>
      <c r="O72" s="17">
        <v>4.9000000000000004</v>
      </c>
      <c r="P72" s="16" t="s">
        <v>137</v>
      </c>
      <c r="Q72" s="18">
        <v>0.8</v>
      </c>
      <c r="R72" s="19">
        <v>20.49</v>
      </c>
      <c r="S72" s="19">
        <v>17.399999999999999</v>
      </c>
      <c r="T72" s="19">
        <v>24.4</v>
      </c>
      <c r="U72" s="20">
        <v>290.19</v>
      </c>
      <c r="V72" s="16" t="s">
        <v>16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0.08</v>
      </c>
      <c r="AC72" s="21">
        <v>0.5</v>
      </c>
      <c r="AD72" s="21">
        <v>0.42</v>
      </c>
      <c r="AE72" s="21">
        <v>5.66</v>
      </c>
      <c r="AF72" s="21">
        <v>5.45</v>
      </c>
      <c r="AG72" s="21">
        <v>10.1</v>
      </c>
      <c r="AH72" s="18" t="s">
        <v>23</v>
      </c>
      <c r="AI72" s="13" t="str">
        <f>VLOOKUP(AH72,'Hess and Brezowsky'!$B$2:$G$31,2,FALSE)</f>
        <v>Meridional</v>
      </c>
      <c r="AJ72" s="18" t="str">
        <f>VLOOKUP(AH72,'Hess and Brezowsky'!$B$2:$G$31,3,FALSE)</f>
        <v>M</v>
      </c>
      <c r="AK72" s="13" t="str">
        <f>VLOOKUP(AH72,'Hess and Brezowsky'!$B$2:$G$31,4,FALSE)</f>
        <v>Trough over Wester Europe</v>
      </c>
      <c r="AL72" s="29">
        <v>0.20136574074074073</v>
      </c>
      <c r="AM72" s="29">
        <v>0.49703703703703705</v>
      </c>
      <c r="AN72" s="30">
        <v>0.79269675925925931</v>
      </c>
    </row>
    <row r="73" spans="1:40" ht="15.75" customHeight="1" x14ac:dyDescent="0.2">
      <c r="A73" s="27">
        <v>44793</v>
      </c>
      <c r="B73" s="13">
        <v>2022</v>
      </c>
      <c r="C73" s="13">
        <v>232</v>
      </c>
      <c r="D73" s="13">
        <f t="shared" si="3"/>
        <v>7</v>
      </c>
      <c r="E73" s="13"/>
      <c r="F73" s="13">
        <f t="shared" si="1"/>
        <v>3</v>
      </c>
      <c r="G73" s="14">
        <v>1</v>
      </c>
      <c r="H73" s="14">
        <v>0</v>
      </c>
      <c r="I73" s="14">
        <v>1</v>
      </c>
      <c r="J73" s="14">
        <v>0</v>
      </c>
      <c r="K73" s="14">
        <v>0</v>
      </c>
      <c r="L73" s="14">
        <v>1</v>
      </c>
      <c r="M73" s="15">
        <v>306.95100000000002</v>
      </c>
      <c r="N73" s="16" t="str">
        <f t="shared" si="4"/>
        <v>NW</v>
      </c>
      <c r="O73" s="17">
        <v>4.9000000000000004</v>
      </c>
      <c r="P73" s="16" t="s">
        <v>137</v>
      </c>
      <c r="Q73" s="18">
        <v>0</v>
      </c>
      <c r="R73" s="19">
        <v>19.920000000000002</v>
      </c>
      <c r="S73" s="19">
        <v>14.2</v>
      </c>
      <c r="T73" s="19">
        <v>25.3</v>
      </c>
      <c r="U73" s="20">
        <v>294.14</v>
      </c>
      <c r="V73" s="16" t="s">
        <v>6</v>
      </c>
      <c r="W73" s="21">
        <v>0.04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0.54</v>
      </c>
      <c r="AD73" s="21">
        <v>0.33</v>
      </c>
      <c r="AE73" s="21">
        <v>4.9800000000000004</v>
      </c>
      <c r="AF73" s="21">
        <v>4.6100000000000003</v>
      </c>
      <c r="AG73" s="21">
        <v>9.9</v>
      </c>
      <c r="AH73" s="18" t="s">
        <v>23</v>
      </c>
      <c r="AI73" s="13" t="str">
        <f>VLOOKUP(AH73,'Hess and Brezowsky'!$B$2:$G$31,2,FALSE)</f>
        <v>Meridional</v>
      </c>
      <c r="AJ73" s="18" t="str">
        <f>VLOOKUP(AH73,'Hess and Brezowsky'!$B$2:$G$31,3,FALSE)</f>
        <v>M</v>
      </c>
      <c r="AK73" s="13" t="str">
        <f>VLOOKUP(AH73,'Hess and Brezowsky'!$B$2:$G$31,4,FALSE)</f>
        <v>Trough over Wester Europe</v>
      </c>
      <c r="AL73" s="29">
        <v>0.20234953703703704</v>
      </c>
      <c r="AM73" s="29">
        <v>0.49687500000000001</v>
      </c>
      <c r="AN73" s="30">
        <v>0.79140046296296296</v>
      </c>
    </row>
    <row r="74" spans="1:40" ht="15.75" customHeight="1" x14ac:dyDescent="0.2">
      <c r="A74" s="27">
        <v>44794</v>
      </c>
      <c r="B74" s="13">
        <v>2022</v>
      </c>
      <c r="C74" s="13">
        <v>233</v>
      </c>
      <c r="D74" s="13">
        <f t="shared" si="3"/>
        <v>1</v>
      </c>
      <c r="E74" s="13"/>
      <c r="F74" s="13">
        <f t="shared" si="1"/>
        <v>3</v>
      </c>
      <c r="G74" s="14">
        <v>1</v>
      </c>
      <c r="H74" s="14">
        <v>0</v>
      </c>
      <c r="I74" s="14">
        <v>1</v>
      </c>
      <c r="J74" s="14">
        <v>0</v>
      </c>
      <c r="K74" s="14">
        <v>0</v>
      </c>
      <c r="L74" s="14">
        <v>1</v>
      </c>
      <c r="M74" s="15">
        <v>180.816</v>
      </c>
      <c r="N74" s="16" t="str">
        <f t="shared" si="4"/>
        <v>S</v>
      </c>
      <c r="O74" s="17">
        <v>4.8</v>
      </c>
      <c r="P74" s="16" t="s">
        <v>137</v>
      </c>
      <c r="Q74" s="18">
        <v>0</v>
      </c>
      <c r="R74" s="19">
        <v>21.19</v>
      </c>
      <c r="S74" s="19">
        <v>15.3</v>
      </c>
      <c r="T74" s="19">
        <v>26.8</v>
      </c>
      <c r="U74" s="20">
        <v>178.93</v>
      </c>
      <c r="V74" s="16" t="s">
        <v>13</v>
      </c>
      <c r="W74" s="21">
        <v>0</v>
      </c>
      <c r="X74" s="21">
        <v>0</v>
      </c>
      <c r="Y74" s="21">
        <v>0.12</v>
      </c>
      <c r="Z74" s="21">
        <v>0.25</v>
      </c>
      <c r="AA74" s="21">
        <v>0.33</v>
      </c>
      <c r="AB74" s="21">
        <v>0.12</v>
      </c>
      <c r="AC74" s="21">
        <v>0</v>
      </c>
      <c r="AD74" s="21">
        <v>0.17</v>
      </c>
      <c r="AE74" s="21">
        <v>4.33</v>
      </c>
      <c r="AF74" s="21">
        <v>1.77</v>
      </c>
      <c r="AG74" s="21">
        <v>8.1</v>
      </c>
      <c r="AH74" s="18" t="s">
        <v>12</v>
      </c>
      <c r="AI74" s="13" t="str">
        <f>VLOOKUP(AH74,'Hess and Brezowsky'!$B$2:$G$31,2,FALSE)</f>
        <v>Undefined</v>
      </c>
      <c r="AJ74" s="18" t="str">
        <f>VLOOKUP(AH74,'Hess and Brezowsky'!$B$2:$G$31,3,FALSE)</f>
        <v>M</v>
      </c>
      <c r="AK74" s="13" t="str">
        <f>VLOOKUP(AH74,'Hess and Brezowsky'!$B$2:$G$31,4,FALSE)</f>
        <v>Transistion / Undefined</v>
      </c>
      <c r="AL74" s="29">
        <v>0.2033449074074074</v>
      </c>
      <c r="AM74" s="29">
        <v>0.49671296296296297</v>
      </c>
      <c r="AN74" s="30">
        <v>0.79009259259259257</v>
      </c>
    </row>
    <row r="75" spans="1:40" ht="15.75" customHeight="1" x14ac:dyDescent="0.2">
      <c r="A75" s="27">
        <v>44795</v>
      </c>
      <c r="B75" s="13">
        <v>2022</v>
      </c>
      <c r="C75" s="13">
        <v>234</v>
      </c>
      <c r="D75" s="13">
        <f t="shared" si="3"/>
        <v>2</v>
      </c>
      <c r="E75" s="13"/>
      <c r="F75" s="13">
        <f t="shared" si="1"/>
        <v>3</v>
      </c>
      <c r="G75" s="14">
        <v>1</v>
      </c>
      <c r="H75" s="14">
        <v>0</v>
      </c>
      <c r="I75" s="14">
        <v>1</v>
      </c>
      <c r="J75" s="14">
        <v>0</v>
      </c>
      <c r="K75" s="14">
        <v>0</v>
      </c>
      <c r="L75" s="14">
        <v>1</v>
      </c>
      <c r="M75" s="15">
        <v>245.667</v>
      </c>
      <c r="N75" s="16" t="str">
        <f t="shared" si="4"/>
        <v>SW</v>
      </c>
      <c r="O75" s="17">
        <v>4.2</v>
      </c>
      <c r="P75" s="16" t="s">
        <v>137</v>
      </c>
      <c r="Q75" s="18">
        <v>0</v>
      </c>
      <c r="R75" s="19">
        <v>21.65</v>
      </c>
      <c r="S75" s="19">
        <v>16.899999999999999</v>
      </c>
      <c r="T75" s="19">
        <v>26.4</v>
      </c>
      <c r="U75" s="20">
        <v>255.86</v>
      </c>
      <c r="V75" s="16" t="s">
        <v>16</v>
      </c>
      <c r="W75" s="21">
        <v>0</v>
      </c>
      <c r="X75" s="21">
        <v>0</v>
      </c>
      <c r="Y75" s="21">
        <v>0</v>
      </c>
      <c r="Z75" s="21">
        <v>0</v>
      </c>
      <c r="AA75" s="21">
        <v>0.08</v>
      </c>
      <c r="AB75" s="21">
        <v>0.38</v>
      </c>
      <c r="AC75" s="21">
        <v>0.38</v>
      </c>
      <c r="AD75" s="21">
        <v>0.17</v>
      </c>
      <c r="AE75" s="21">
        <v>3.35</v>
      </c>
      <c r="AF75" s="21">
        <v>2.75</v>
      </c>
      <c r="AG75" s="21">
        <v>6</v>
      </c>
      <c r="AH75" s="18" t="s">
        <v>24</v>
      </c>
      <c r="AI75" s="13" t="str">
        <f>VLOOKUP(AH75,'Hess and Brezowsky'!$B$2:$G$31,2,FALSE)</f>
        <v>Meridional</v>
      </c>
      <c r="AJ75" s="18" t="str">
        <f>VLOOKUP(AH75,'Hess and Brezowsky'!$B$2:$G$31,3,FALSE)</f>
        <v>A</v>
      </c>
      <c r="AK75" s="13" t="str">
        <f>VLOOKUP(AH75,'Hess and Brezowsky'!$B$2:$G$31,4,FALSE)</f>
        <v>Anticyclonic North-Easterly</v>
      </c>
      <c r="AL75" s="29">
        <v>0.20432870370370371</v>
      </c>
      <c r="AM75" s="29">
        <v>0.49655092592592592</v>
      </c>
      <c r="AN75" s="30">
        <v>0.7887615740740741</v>
      </c>
    </row>
    <row r="76" spans="1:40" ht="15.75" customHeight="1" x14ac:dyDescent="0.2">
      <c r="A76" s="27">
        <v>44796</v>
      </c>
      <c r="B76" s="13">
        <v>2022</v>
      </c>
      <c r="C76" s="13">
        <v>235</v>
      </c>
      <c r="D76" s="13">
        <f t="shared" si="3"/>
        <v>3</v>
      </c>
      <c r="E76" s="13"/>
      <c r="F76" s="13">
        <f t="shared" si="1"/>
        <v>3</v>
      </c>
      <c r="G76" s="14">
        <v>1</v>
      </c>
      <c r="H76" s="14">
        <v>0</v>
      </c>
      <c r="I76" s="14">
        <v>1</v>
      </c>
      <c r="J76" s="14">
        <v>0</v>
      </c>
      <c r="K76" s="14">
        <v>0</v>
      </c>
      <c r="L76" s="14">
        <v>1</v>
      </c>
      <c r="M76" s="15">
        <v>270.49799999999999</v>
      </c>
      <c r="N76" s="16" t="str">
        <f t="shared" si="4"/>
        <v>W</v>
      </c>
      <c r="O76" s="17">
        <v>3.4</v>
      </c>
      <c r="P76" s="16" t="s">
        <v>137</v>
      </c>
      <c r="Q76" s="18">
        <v>0</v>
      </c>
      <c r="R76" s="19">
        <v>23.16</v>
      </c>
      <c r="S76" s="19">
        <v>18.600000000000001</v>
      </c>
      <c r="T76" s="19">
        <v>28</v>
      </c>
      <c r="U76" s="20">
        <v>269.17</v>
      </c>
      <c r="V76" s="16" t="s">
        <v>16</v>
      </c>
      <c r="W76" s="21">
        <v>0.04</v>
      </c>
      <c r="X76" s="21">
        <v>0.04</v>
      </c>
      <c r="Y76" s="21">
        <v>0</v>
      </c>
      <c r="Z76" s="21">
        <v>0</v>
      </c>
      <c r="AA76" s="21">
        <v>0</v>
      </c>
      <c r="AB76" s="21">
        <v>0.33</v>
      </c>
      <c r="AC76" s="21">
        <v>0.38</v>
      </c>
      <c r="AD76" s="21">
        <v>0.17</v>
      </c>
      <c r="AE76" s="21">
        <v>2.2799999999999998</v>
      </c>
      <c r="AF76" s="21">
        <v>1.55</v>
      </c>
      <c r="AG76" s="21">
        <v>8</v>
      </c>
      <c r="AH76" s="18" t="s">
        <v>24</v>
      </c>
      <c r="AI76" s="13" t="str">
        <f>VLOOKUP(AH76,'Hess and Brezowsky'!$B$2:$G$31,2,FALSE)</f>
        <v>Meridional</v>
      </c>
      <c r="AJ76" s="18" t="str">
        <f>VLOOKUP(AH76,'Hess and Brezowsky'!$B$2:$G$31,3,FALSE)</f>
        <v>A</v>
      </c>
      <c r="AK76" s="13" t="str">
        <f>VLOOKUP(AH76,'Hess and Brezowsky'!$B$2:$G$31,4,FALSE)</f>
        <v>Anticyclonic North-Easterly</v>
      </c>
      <c r="AL76" s="29">
        <v>0.20532407407407408</v>
      </c>
      <c r="AM76" s="29">
        <v>0.49637731481481484</v>
      </c>
      <c r="AN76" s="30">
        <v>0.78743055555555552</v>
      </c>
    </row>
    <row r="77" spans="1:40" ht="15.75" customHeight="1" x14ac:dyDescent="0.2">
      <c r="A77" s="27">
        <v>44797</v>
      </c>
      <c r="B77" s="13">
        <v>2022</v>
      </c>
      <c r="C77" s="13">
        <v>236</v>
      </c>
      <c r="D77" s="13">
        <f t="shared" si="3"/>
        <v>4</v>
      </c>
      <c r="E77" s="13"/>
      <c r="F77" s="13">
        <f t="shared" si="1"/>
        <v>3</v>
      </c>
      <c r="G77" s="14">
        <v>0.75</v>
      </c>
      <c r="H77" s="14">
        <v>0</v>
      </c>
      <c r="I77" s="14">
        <v>1</v>
      </c>
      <c r="J77" s="14">
        <v>0</v>
      </c>
      <c r="K77" s="14">
        <v>0</v>
      </c>
      <c r="L77" s="14">
        <v>0.87</v>
      </c>
      <c r="M77" s="15">
        <v>104.614</v>
      </c>
      <c r="N77" s="16" t="str">
        <f t="shared" si="4"/>
        <v>E</v>
      </c>
      <c r="O77" s="17">
        <v>5.0999999999999996</v>
      </c>
      <c r="P77" s="16" t="s">
        <v>138</v>
      </c>
      <c r="Q77" s="18">
        <v>0</v>
      </c>
      <c r="R77" s="19">
        <v>26.21</v>
      </c>
      <c r="S77" s="19">
        <v>19.5</v>
      </c>
      <c r="T77" s="19">
        <v>32.700000000000003</v>
      </c>
      <c r="U77" s="20">
        <v>106.39</v>
      </c>
      <c r="V77" s="16" t="s">
        <v>9</v>
      </c>
      <c r="W77" s="21">
        <v>0</v>
      </c>
      <c r="X77" s="21">
        <v>0.04</v>
      </c>
      <c r="Y77" s="21">
        <v>0.54</v>
      </c>
      <c r="Z77" s="21">
        <v>0.38</v>
      </c>
      <c r="AA77" s="21">
        <v>0.04</v>
      </c>
      <c r="AB77" s="21">
        <v>0</v>
      </c>
      <c r="AC77" s="21">
        <v>0</v>
      </c>
      <c r="AD77" s="21">
        <v>0</v>
      </c>
      <c r="AE77" s="21">
        <v>5.09</v>
      </c>
      <c r="AF77" s="21">
        <v>4.5999999999999996</v>
      </c>
      <c r="AG77" s="21">
        <v>9.1999999999999993</v>
      </c>
      <c r="AH77" s="18" t="s">
        <v>24</v>
      </c>
      <c r="AI77" s="13" t="str">
        <f>VLOOKUP(AH77,'Hess and Brezowsky'!$B$2:$G$31,2,FALSE)</f>
        <v>Meridional</v>
      </c>
      <c r="AJ77" s="18" t="str">
        <f>VLOOKUP(AH77,'Hess and Brezowsky'!$B$2:$G$31,3,FALSE)</f>
        <v>A</v>
      </c>
      <c r="AK77" s="13" t="str">
        <f>VLOOKUP(AH77,'Hess and Brezowsky'!$B$2:$G$31,4,FALSE)</f>
        <v>Anticyclonic North-Easterly</v>
      </c>
      <c r="AL77" s="29">
        <v>0.20630787037037038</v>
      </c>
      <c r="AM77" s="29">
        <v>0.49619212962962961</v>
      </c>
      <c r="AN77" s="30">
        <v>0.78608796296296302</v>
      </c>
    </row>
    <row r="78" spans="1:40" ht="15.75" customHeight="1" x14ac:dyDescent="0.2">
      <c r="A78" s="27">
        <v>44798</v>
      </c>
      <c r="B78" s="13">
        <v>2022</v>
      </c>
      <c r="C78" s="13">
        <v>237</v>
      </c>
      <c r="D78" s="13">
        <f t="shared" si="3"/>
        <v>5</v>
      </c>
      <c r="E78" s="13"/>
      <c r="F78" s="13">
        <f t="shared" si="1"/>
        <v>3</v>
      </c>
      <c r="G78" s="14">
        <v>0.95</v>
      </c>
      <c r="H78" s="14">
        <v>0</v>
      </c>
      <c r="I78" s="14">
        <v>1</v>
      </c>
      <c r="J78" s="14">
        <v>0</v>
      </c>
      <c r="K78" s="14">
        <v>0</v>
      </c>
      <c r="L78" s="14">
        <v>1</v>
      </c>
      <c r="M78" s="15">
        <v>336.61599999999999</v>
      </c>
      <c r="N78" s="16" t="str">
        <f t="shared" si="4"/>
        <v>NW</v>
      </c>
      <c r="O78" s="17">
        <v>6.6</v>
      </c>
      <c r="P78" s="16" t="s">
        <v>138</v>
      </c>
      <c r="Q78" s="18">
        <v>0</v>
      </c>
      <c r="R78" s="19">
        <v>24.71</v>
      </c>
      <c r="S78" s="19">
        <v>19.7</v>
      </c>
      <c r="T78" s="19">
        <v>31</v>
      </c>
      <c r="U78" s="20">
        <v>316.48</v>
      </c>
      <c r="V78" s="16" t="s">
        <v>6</v>
      </c>
      <c r="W78" s="21">
        <v>0.04</v>
      </c>
      <c r="X78" s="21">
        <v>0</v>
      </c>
      <c r="Y78" s="21">
        <v>0</v>
      </c>
      <c r="Z78" s="21">
        <v>0.21</v>
      </c>
      <c r="AA78" s="21">
        <v>0.12</v>
      </c>
      <c r="AB78" s="21">
        <v>0.04</v>
      </c>
      <c r="AC78" s="21">
        <v>0.04</v>
      </c>
      <c r="AD78" s="21">
        <v>0.54</v>
      </c>
      <c r="AE78" s="21">
        <v>6.76</v>
      </c>
      <c r="AF78" s="21">
        <v>2.93</v>
      </c>
      <c r="AG78" s="21">
        <v>12.1</v>
      </c>
      <c r="AH78" s="18" t="s">
        <v>23</v>
      </c>
      <c r="AI78" s="13" t="str">
        <f>VLOOKUP(AH78,'Hess and Brezowsky'!$B$2:$G$31,2,FALSE)</f>
        <v>Meridional</v>
      </c>
      <c r="AJ78" s="18" t="str">
        <f>VLOOKUP(AH78,'Hess and Brezowsky'!$B$2:$G$31,3,FALSE)</f>
        <v>M</v>
      </c>
      <c r="AK78" s="13" t="str">
        <f>VLOOKUP(AH78,'Hess and Brezowsky'!$B$2:$G$31,4,FALSE)</f>
        <v>Trough over Wester Europe</v>
      </c>
      <c r="AL78" s="29">
        <v>0.20729166666666668</v>
      </c>
      <c r="AM78" s="29">
        <v>0.49600694444444443</v>
      </c>
      <c r="AN78" s="30">
        <v>0.78473379629629625</v>
      </c>
    </row>
    <row r="79" spans="1:40" ht="15.75" customHeight="1" x14ac:dyDescent="0.2">
      <c r="A79" s="27">
        <v>44799</v>
      </c>
      <c r="B79" s="13">
        <v>2022</v>
      </c>
      <c r="C79" s="13">
        <v>238</v>
      </c>
      <c r="D79" s="13">
        <f t="shared" si="3"/>
        <v>6</v>
      </c>
      <c r="E79" s="13"/>
      <c r="F79" s="13">
        <f t="shared" si="1"/>
        <v>3</v>
      </c>
      <c r="G79" s="14">
        <v>1</v>
      </c>
      <c r="H79" s="14">
        <v>0</v>
      </c>
      <c r="I79" s="14">
        <v>1</v>
      </c>
      <c r="J79" s="14">
        <v>0</v>
      </c>
      <c r="K79" s="14">
        <v>0</v>
      </c>
      <c r="L79" s="14">
        <v>1</v>
      </c>
      <c r="M79" s="15">
        <v>354.12099999999998</v>
      </c>
      <c r="N79" s="16" t="str">
        <f t="shared" si="4"/>
        <v>N</v>
      </c>
      <c r="O79" s="17">
        <v>6.2</v>
      </c>
      <c r="P79" s="16" t="s">
        <v>137</v>
      </c>
      <c r="Q79" s="18">
        <v>0</v>
      </c>
      <c r="R79" s="19">
        <v>21.75</v>
      </c>
      <c r="S79" s="19">
        <v>18.600000000000001</v>
      </c>
      <c r="T79" s="19">
        <v>26.8</v>
      </c>
      <c r="U79" s="20">
        <v>344.88</v>
      </c>
      <c r="V79" s="16" t="s">
        <v>7</v>
      </c>
      <c r="W79" s="21">
        <v>0.62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0.38</v>
      </c>
      <c r="AE79" s="21">
        <v>5.79</v>
      </c>
      <c r="AF79" s="21">
        <v>5.65</v>
      </c>
      <c r="AG79" s="21">
        <v>9.8000000000000007</v>
      </c>
      <c r="AH79" s="18" t="s">
        <v>23</v>
      </c>
      <c r="AI79" s="13" t="str">
        <f>VLOOKUP(AH79,'Hess and Brezowsky'!$B$2:$G$31,2,FALSE)</f>
        <v>Meridional</v>
      </c>
      <c r="AJ79" s="18" t="str">
        <f>VLOOKUP(AH79,'Hess and Brezowsky'!$B$2:$G$31,3,FALSE)</f>
        <v>M</v>
      </c>
      <c r="AK79" s="13" t="str">
        <f>VLOOKUP(AH79,'Hess and Brezowsky'!$B$2:$G$31,4,FALSE)</f>
        <v>Trough over Wester Europe</v>
      </c>
      <c r="AL79" s="29">
        <v>0.20827546296296295</v>
      </c>
      <c r="AM79" s="29">
        <v>0.49582175925925925</v>
      </c>
      <c r="AN79" s="30">
        <v>0.78336805555555555</v>
      </c>
    </row>
    <row r="80" spans="1:40" ht="15.75" customHeight="1" x14ac:dyDescent="0.2">
      <c r="A80" s="27">
        <v>44800</v>
      </c>
      <c r="B80" s="13">
        <v>2022</v>
      </c>
      <c r="C80" s="13">
        <v>239</v>
      </c>
      <c r="D80" s="13">
        <f t="shared" si="3"/>
        <v>7</v>
      </c>
      <c r="E80" s="13"/>
      <c r="F80" s="13">
        <f t="shared" si="1"/>
        <v>2</v>
      </c>
      <c r="G80" s="14">
        <v>0</v>
      </c>
      <c r="H80" s="14">
        <v>0</v>
      </c>
      <c r="I80" s="14">
        <v>1</v>
      </c>
      <c r="J80" s="14">
        <v>0</v>
      </c>
      <c r="K80" s="14">
        <v>0</v>
      </c>
      <c r="L80" s="14">
        <v>1</v>
      </c>
      <c r="M80" s="15">
        <v>35.106999999999999</v>
      </c>
      <c r="N80" s="16" t="str">
        <f t="shared" si="4"/>
        <v>NE</v>
      </c>
      <c r="O80" s="17">
        <v>5.4</v>
      </c>
      <c r="P80" s="16" t="s">
        <v>138</v>
      </c>
      <c r="Q80" s="18">
        <v>0</v>
      </c>
      <c r="R80" s="19">
        <v>20.85</v>
      </c>
      <c r="S80" s="19">
        <v>16.7</v>
      </c>
      <c r="T80" s="19">
        <v>25.5</v>
      </c>
      <c r="U80" s="20">
        <v>33.869999999999997</v>
      </c>
      <c r="V80" s="16" t="s">
        <v>10</v>
      </c>
      <c r="W80" s="21">
        <v>0.42</v>
      </c>
      <c r="X80" s="21">
        <v>0.57999999999999996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5.69</v>
      </c>
      <c r="AF80" s="21">
        <v>5.36</v>
      </c>
      <c r="AG80" s="21">
        <v>7.6</v>
      </c>
      <c r="AH80" s="18" t="s">
        <v>23</v>
      </c>
      <c r="AI80" s="13" t="str">
        <f>VLOOKUP(AH80,'Hess and Brezowsky'!$B$2:$G$31,2,FALSE)</f>
        <v>Meridional</v>
      </c>
      <c r="AJ80" s="18" t="str">
        <f>VLOOKUP(AH80,'Hess and Brezowsky'!$B$2:$G$31,3,FALSE)</f>
        <v>M</v>
      </c>
      <c r="AK80" s="13" t="str">
        <f>VLOOKUP(AH80,'Hess and Brezowsky'!$B$2:$G$31,4,FALSE)</f>
        <v>Trough over Wester Europe</v>
      </c>
      <c r="AL80" s="29">
        <v>0.20925925925925926</v>
      </c>
      <c r="AM80" s="29">
        <v>0.49562499999999998</v>
      </c>
      <c r="AN80" s="30">
        <v>0.78199074074074071</v>
      </c>
    </row>
    <row r="81" spans="1:40" ht="15.75" customHeight="1" x14ac:dyDescent="0.2">
      <c r="A81" s="27">
        <v>44801</v>
      </c>
      <c r="B81" s="13">
        <v>2022</v>
      </c>
      <c r="C81" s="13">
        <v>240</v>
      </c>
      <c r="D81" s="13">
        <f t="shared" si="3"/>
        <v>1</v>
      </c>
      <c r="E81" s="13"/>
      <c r="F81" s="13">
        <f t="shared" si="1"/>
        <v>3</v>
      </c>
      <c r="G81" s="14">
        <v>1</v>
      </c>
      <c r="H81" s="14">
        <v>0</v>
      </c>
      <c r="I81" s="14">
        <v>1</v>
      </c>
      <c r="J81" s="14">
        <v>0</v>
      </c>
      <c r="K81" s="14">
        <v>0</v>
      </c>
      <c r="L81" s="14">
        <v>1</v>
      </c>
      <c r="M81" s="15">
        <v>43.125</v>
      </c>
      <c r="N81" s="16" t="str">
        <f t="shared" si="4"/>
        <v>NE</v>
      </c>
      <c r="O81" s="17">
        <v>7.1</v>
      </c>
      <c r="P81" s="16" t="s">
        <v>137</v>
      </c>
      <c r="Q81" s="18">
        <v>0</v>
      </c>
      <c r="R81" s="19">
        <v>21.04</v>
      </c>
      <c r="S81" s="19">
        <v>15.7</v>
      </c>
      <c r="T81" s="19">
        <v>26.8</v>
      </c>
      <c r="U81" s="20">
        <v>40.49</v>
      </c>
      <c r="V81" s="16" t="s">
        <v>10</v>
      </c>
      <c r="W81" s="21">
        <v>0.04</v>
      </c>
      <c r="X81" s="21">
        <v>0.96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6.56</v>
      </c>
      <c r="AF81" s="21">
        <v>6.48</v>
      </c>
      <c r="AG81" s="21">
        <v>12.6</v>
      </c>
      <c r="AH81" s="18" t="s">
        <v>25</v>
      </c>
      <c r="AI81" s="13" t="str">
        <f>VLOOKUP(AH81,'Hess and Brezowsky'!$B$2:$G$31,2,FALSE)</f>
        <v>Meridional</v>
      </c>
      <c r="AJ81" s="18" t="str">
        <f>VLOOKUP(AH81,'Hess and Brezowsky'!$B$2:$G$31,3,FALSE)</f>
        <v>A</v>
      </c>
      <c r="AK81" s="13" t="str">
        <f>VLOOKUP(AH81,'Hess and Brezowsky'!$B$2:$G$31,4,FALSE)</f>
        <v>Icelandic High, Ride Central Europe</v>
      </c>
      <c r="AL81" s="29">
        <v>0.21025462962962962</v>
      </c>
      <c r="AM81" s="29">
        <v>0.49542824074074077</v>
      </c>
      <c r="AN81" s="30">
        <v>0.78060185185185182</v>
      </c>
    </row>
    <row r="82" spans="1:40" ht="15.75" customHeight="1" x14ac:dyDescent="0.2">
      <c r="A82" s="27">
        <v>44802</v>
      </c>
      <c r="B82" s="13">
        <v>2022</v>
      </c>
      <c r="C82" s="13">
        <v>241</v>
      </c>
      <c r="D82" s="13">
        <f t="shared" si="3"/>
        <v>2</v>
      </c>
      <c r="E82" s="13"/>
      <c r="F82" s="13">
        <f t="shared" si="1"/>
        <v>3</v>
      </c>
      <c r="G82" s="14">
        <v>1</v>
      </c>
      <c r="H82" s="14">
        <v>0</v>
      </c>
      <c r="I82" s="14">
        <v>1</v>
      </c>
      <c r="J82" s="14">
        <v>0</v>
      </c>
      <c r="K82" s="14">
        <v>0</v>
      </c>
      <c r="L82" s="14">
        <v>1</v>
      </c>
      <c r="M82" s="15">
        <v>40.057000000000002</v>
      </c>
      <c r="N82" s="16" t="str">
        <f t="shared" si="4"/>
        <v>NE</v>
      </c>
      <c r="O82" s="17">
        <v>7.4</v>
      </c>
      <c r="P82" s="16" t="s">
        <v>139</v>
      </c>
      <c r="Q82" s="18">
        <v>0</v>
      </c>
      <c r="R82" s="19">
        <v>22.61</v>
      </c>
      <c r="S82" s="19">
        <v>16.8</v>
      </c>
      <c r="T82" s="19">
        <v>29.2</v>
      </c>
      <c r="U82" s="20">
        <v>40.5</v>
      </c>
      <c r="V82" s="16" t="s">
        <v>10</v>
      </c>
      <c r="W82" s="21">
        <v>0.04</v>
      </c>
      <c r="X82" s="21">
        <v>0.96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7.09</v>
      </c>
      <c r="AF82" s="21">
        <v>6.96</v>
      </c>
      <c r="AG82" s="21">
        <v>13.1</v>
      </c>
      <c r="AH82" s="18" t="s">
        <v>25</v>
      </c>
      <c r="AI82" s="13" t="str">
        <f>VLOOKUP(AH82,'Hess and Brezowsky'!$B$2:$G$31,2,FALSE)</f>
        <v>Meridional</v>
      </c>
      <c r="AJ82" s="18" t="str">
        <f>VLOOKUP(AH82,'Hess and Brezowsky'!$B$2:$G$31,3,FALSE)</f>
        <v>A</v>
      </c>
      <c r="AK82" s="13" t="str">
        <f>VLOOKUP(AH82,'Hess and Brezowsky'!$B$2:$G$31,4,FALSE)</f>
        <v>Icelandic High, Ride Central Europe</v>
      </c>
      <c r="AL82" s="29">
        <v>0.21123842592592593</v>
      </c>
      <c r="AM82" s="29">
        <v>0.4952199074074074</v>
      </c>
      <c r="AN82" s="30">
        <v>0.77921296296296294</v>
      </c>
    </row>
    <row r="83" spans="1:40" ht="15.75" customHeight="1" x14ac:dyDescent="0.2">
      <c r="A83" s="27">
        <v>44803</v>
      </c>
      <c r="B83" s="13">
        <v>2022</v>
      </c>
      <c r="C83" s="13">
        <v>242</v>
      </c>
      <c r="D83" s="13">
        <f t="shared" si="3"/>
        <v>3</v>
      </c>
      <c r="E83" s="13"/>
      <c r="F83" s="13">
        <f t="shared" si="1"/>
        <v>3</v>
      </c>
      <c r="G83" s="14">
        <v>1</v>
      </c>
      <c r="H83" s="14">
        <v>0</v>
      </c>
      <c r="I83" s="14">
        <v>1</v>
      </c>
      <c r="J83" s="14">
        <v>0</v>
      </c>
      <c r="K83" s="14">
        <v>0</v>
      </c>
      <c r="L83" s="14">
        <v>1</v>
      </c>
      <c r="M83" s="15">
        <v>14.586</v>
      </c>
      <c r="N83" s="16" t="str">
        <f t="shared" si="4"/>
        <v>N</v>
      </c>
      <c r="O83" s="17">
        <v>5.5</v>
      </c>
      <c r="P83" s="16" t="s">
        <v>137</v>
      </c>
      <c r="Q83" s="18">
        <v>2.2000000000000002</v>
      </c>
      <c r="R83" s="19">
        <v>21.5</v>
      </c>
      <c r="S83" s="19">
        <v>15.3</v>
      </c>
      <c r="T83" s="19">
        <v>27.7</v>
      </c>
      <c r="U83" s="20">
        <v>16.260000000000002</v>
      </c>
      <c r="V83" s="16" t="s">
        <v>7</v>
      </c>
      <c r="W83" s="21">
        <v>0.57999999999999996</v>
      </c>
      <c r="X83" s="21">
        <v>0.28999999999999998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0.12</v>
      </c>
      <c r="AE83" s="21">
        <v>4.8899999999999997</v>
      </c>
      <c r="AF83" s="21">
        <v>4.58</v>
      </c>
      <c r="AG83" s="21">
        <v>10.3</v>
      </c>
      <c r="AH83" s="18" t="s">
        <v>25</v>
      </c>
      <c r="AI83" s="13" t="str">
        <f>VLOOKUP(AH83,'Hess and Brezowsky'!$B$2:$G$31,2,FALSE)</f>
        <v>Meridional</v>
      </c>
      <c r="AJ83" s="18" t="str">
        <f>VLOOKUP(AH83,'Hess and Brezowsky'!$B$2:$G$31,3,FALSE)</f>
        <v>A</v>
      </c>
      <c r="AK83" s="13" t="str">
        <f>VLOOKUP(AH83,'Hess and Brezowsky'!$B$2:$G$31,4,FALSE)</f>
        <v>Icelandic High, Ride Central Europe</v>
      </c>
      <c r="AL83" s="29">
        <v>0.21222222222222223</v>
      </c>
      <c r="AM83" s="29">
        <v>0.49501157407407409</v>
      </c>
      <c r="AN83" s="30">
        <v>0.77780092592592598</v>
      </c>
    </row>
    <row r="84" spans="1:40" ht="15.75" customHeight="1" x14ac:dyDescent="0.2">
      <c r="A84" s="27">
        <v>44804</v>
      </c>
      <c r="B84" s="13">
        <v>2022</v>
      </c>
      <c r="C84" s="13">
        <v>243</v>
      </c>
      <c r="D84" s="13">
        <f t="shared" si="3"/>
        <v>4</v>
      </c>
      <c r="E84" s="13"/>
      <c r="F84" s="13">
        <f t="shared" si="1"/>
        <v>3</v>
      </c>
      <c r="G84" s="14">
        <v>1</v>
      </c>
      <c r="H84" s="14">
        <v>0</v>
      </c>
      <c r="I84" s="14">
        <v>1</v>
      </c>
      <c r="J84" s="14">
        <v>0</v>
      </c>
      <c r="K84" s="14">
        <v>0</v>
      </c>
      <c r="L84" s="14">
        <v>1</v>
      </c>
      <c r="M84" s="15">
        <v>15.254</v>
      </c>
      <c r="N84" s="16" t="str">
        <f t="shared" si="4"/>
        <v>N</v>
      </c>
      <c r="O84" s="17">
        <v>6.2</v>
      </c>
      <c r="P84" s="16" t="s">
        <v>137</v>
      </c>
      <c r="Q84" s="18">
        <v>0</v>
      </c>
      <c r="R84" s="19">
        <v>21.95</v>
      </c>
      <c r="S84" s="19">
        <v>17</v>
      </c>
      <c r="T84" s="19">
        <v>27.3</v>
      </c>
      <c r="U84" s="20">
        <v>6.44</v>
      </c>
      <c r="V84" s="16" t="s">
        <v>7</v>
      </c>
      <c r="W84" s="21">
        <v>0.88</v>
      </c>
      <c r="X84" s="21">
        <v>0.04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0.08</v>
      </c>
      <c r="AE84" s="21">
        <v>5.3</v>
      </c>
      <c r="AF84" s="21">
        <v>5.2</v>
      </c>
      <c r="AG84" s="21">
        <v>9</v>
      </c>
      <c r="AH84" s="18" t="s">
        <v>26</v>
      </c>
      <c r="AI84" s="13" t="str">
        <f>VLOOKUP(AH84,'Hess and Brezowsky'!$B$2:$G$31,2,FALSE)</f>
        <v>Meridional</v>
      </c>
      <c r="AJ84" s="18" t="str">
        <f>VLOOKUP(AH84,'Hess and Brezowsky'!$B$2:$G$31,3,FALSE)</f>
        <v>A</v>
      </c>
      <c r="AK84" s="13" t="str">
        <f>VLOOKUP(AH84,'Hess and Brezowsky'!$B$2:$G$31,4,FALSE)</f>
        <v>High Scandinavia-Iceland, Ridge Central Europe</v>
      </c>
      <c r="AL84" s="29">
        <v>0.21319444444444444</v>
      </c>
      <c r="AM84" s="29">
        <v>0.49479166666666669</v>
      </c>
      <c r="AN84" s="30">
        <v>0.77640046296296295</v>
      </c>
    </row>
    <row r="85" spans="1:40" ht="15.75" customHeight="1" x14ac:dyDescent="0.2">
      <c r="A85" s="27">
        <v>44805</v>
      </c>
      <c r="B85" s="13">
        <v>2022</v>
      </c>
      <c r="C85" s="13">
        <v>244</v>
      </c>
      <c r="D85" s="13">
        <f t="shared" si="3"/>
        <v>5</v>
      </c>
      <c r="E85" s="13"/>
      <c r="F85" s="13">
        <f t="shared" si="1"/>
        <v>3</v>
      </c>
      <c r="G85" s="14">
        <v>1</v>
      </c>
      <c r="H85" s="14">
        <v>0</v>
      </c>
      <c r="I85" s="14">
        <v>1</v>
      </c>
      <c r="J85" s="14">
        <v>0</v>
      </c>
      <c r="K85" s="14">
        <v>0</v>
      </c>
      <c r="L85" s="14">
        <v>1</v>
      </c>
      <c r="M85" s="15">
        <v>95.784000000000006</v>
      </c>
      <c r="N85" s="16" t="str">
        <f t="shared" si="4"/>
        <v>E</v>
      </c>
      <c r="O85" s="17">
        <v>6.1</v>
      </c>
      <c r="P85" s="16" t="s">
        <v>137</v>
      </c>
      <c r="Q85" s="18">
        <v>0</v>
      </c>
      <c r="R85" s="19">
        <v>22.57</v>
      </c>
      <c r="S85" s="19">
        <v>17.399999999999999</v>
      </c>
      <c r="T85" s="19">
        <v>28.5</v>
      </c>
      <c r="U85" s="20">
        <v>97.25</v>
      </c>
      <c r="V85" s="16" t="s">
        <v>9</v>
      </c>
      <c r="W85" s="21">
        <v>0</v>
      </c>
      <c r="X85" s="21">
        <v>0.12</v>
      </c>
      <c r="Y85" s="21">
        <v>0.71</v>
      </c>
      <c r="Z85" s="21">
        <v>0.17</v>
      </c>
      <c r="AA85" s="21">
        <v>0</v>
      </c>
      <c r="AB85" s="21">
        <v>0</v>
      </c>
      <c r="AC85" s="21">
        <v>0</v>
      </c>
      <c r="AD85" s="21">
        <v>0</v>
      </c>
      <c r="AE85" s="21">
        <v>5.34</v>
      </c>
      <c r="AF85" s="21">
        <v>5.04</v>
      </c>
      <c r="AG85" s="21">
        <v>12</v>
      </c>
      <c r="AH85" s="18" t="s">
        <v>26</v>
      </c>
      <c r="AI85" s="13" t="str">
        <f>VLOOKUP(AH85,'Hess and Brezowsky'!$B$2:$G$31,2,FALSE)</f>
        <v>Meridional</v>
      </c>
      <c r="AJ85" s="18" t="str">
        <f>VLOOKUP(AH85,'Hess and Brezowsky'!$B$2:$G$31,3,FALSE)</f>
        <v>A</v>
      </c>
      <c r="AK85" s="13" t="str">
        <f>VLOOKUP(AH85,'Hess and Brezowsky'!$B$2:$G$31,4,FALSE)</f>
        <v>High Scandinavia-Iceland, Ridge Central Europe</v>
      </c>
      <c r="AL85" s="29">
        <v>0.21417824074074074</v>
      </c>
      <c r="AM85" s="29">
        <v>0.49458333333333332</v>
      </c>
      <c r="AN85" s="30">
        <v>0.77497685185185183</v>
      </c>
    </row>
    <row r="86" spans="1:40" ht="15.75" customHeight="1" x14ac:dyDescent="0.2">
      <c r="A86" s="27">
        <v>44806</v>
      </c>
      <c r="B86" s="13">
        <v>2022</v>
      </c>
      <c r="C86" s="13">
        <v>245</v>
      </c>
      <c r="D86" s="13">
        <f t="shared" si="3"/>
        <v>6</v>
      </c>
      <c r="E86" s="13"/>
      <c r="F86" s="13">
        <f t="shared" si="1"/>
        <v>3</v>
      </c>
      <c r="G86" s="14">
        <v>1</v>
      </c>
      <c r="H86" s="14">
        <v>0</v>
      </c>
      <c r="I86" s="14">
        <v>1</v>
      </c>
      <c r="J86" s="14">
        <v>0</v>
      </c>
      <c r="K86" s="14">
        <v>0</v>
      </c>
      <c r="L86" s="14">
        <v>1</v>
      </c>
      <c r="M86" s="15">
        <v>113.42</v>
      </c>
      <c r="N86" s="16" t="str">
        <f t="shared" si="4"/>
        <v>SE</v>
      </c>
      <c r="O86" s="17">
        <v>4.8</v>
      </c>
      <c r="P86" s="16" t="s">
        <v>137</v>
      </c>
      <c r="Q86" s="18">
        <v>0.4</v>
      </c>
      <c r="R86" s="19">
        <v>20.71</v>
      </c>
      <c r="S86" s="19">
        <v>18.2</v>
      </c>
      <c r="T86" s="19">
        <v>24.7</v>
      </c>
      <c r="U86" s="20">
        <v>108</v>
      </c>
      <c r="V86" s="16" t="s">
        <v>9</v>
      </c>
      <c r="W86" s="21">
        <v>0.04</v>
      </c>
      <c r="X86" s="21">
        <v>0.12</v>
      </c>
      <c r="Y86" s="21">
        <v>0.17</v>
      </c>
      <c r="Z86" s="21">
        <v>0.12</v>
      </c>
      <c r="AA86" s="21">
        <v>0.17</v>
      </c>
      <c r="AB86" s="21">
        <v>0.28999999999999998</v>
      </c>
      <c r="AC86" s="21">
        <v>0</v>
      </c>
      <c r="AD86" s="21">
        <v>0.08</v>
      </c>
      <c r="AE86" s="21">
        <v>3.98</v>
      </c>
      <c r="AF86" s="21">
        <v>1.77</v>
      </c>
      <c r="AG86" s="21">
        <v>12</v>
      </c>
      <c r="AH86" s="18" t="s">
        <v>26</v>
      </c>
      <c r="AI86" s="13" t="str">
        <f>VLOOKUP(AH86,'Hess and Brezowsky'!$B$2:$G$31,2,FALSE)</f>
        <v>Meridional</v>
      </c>
      <c r="AJ86" s="18" t="str">
        <f>VLOOKUP(AH86,'Hess and Brezowsky'!$B$2:$G$31,3,FALSE)</f>
        <v>A</v>
      </c>
      <c r="AK86" s="13" t="str">
        <f>VLOOKUP(AH86,'Hess and Brezowsky'!$B$2:$G$31,4,FALSE)</f>
        <v>High Scandinavia-Iceland, Ridge Central Europe</v>
      </c>
      <c r="AL86" s="29">
        <v>0.21516203703703704</v>
      </c>
      <c r="AM86" s="29">
        <v>0.49435185185185188</v>
      </c>
      <c r="AN86" s="30">
        <v>0.77355324074074072</v>
      </c>
    </row>
    <row r="87" spans="1:40" ht="15.75" customHeight="1" x14ac:dyDescent="0.2">
      <c r="A87" s="27">
        <v>44807</v>
      </c>
      <c r="B87" s="13">
        <v>2022</v>
      </c>
      <c r="C87" s="13">
        <v>246</v>
      </c>
      <c r="D87" s="13">
        <f t="shared" si="3"/>
        <v>7</v>
      </c>
      <c r="E87" s="13"/>
      <c r="F87" s="13">
        <f t="shared" si="1"/>
        <v>3</v>
      </c>
      <c r="G87" s="14">
        <v>1</v>
      </c>
      <c r="H87" s="14">
        <v>0</v>
      </c>
      <c r="I87" s="14">
        <v>1</v>
      </c>
      <c r="J87" s="14">
        <v>0</v>
      </c>
      <c r="K87" s="14">
        <v>0</v>
      </c>
      <c r="L87" s="14">
        <v>1</v>
      </c>
      <c r="M87" s="15">
        <v>216.86500000000001</v>
      </c>
      <c r="N87" s="16" t="str">
        <f t="shared" si="4"/>
        <v>SW</v>
      </c>
      <c r="O87" s="17">
        <v>5.3</v>
      </c>
      <c r="P87" s="16" t="s">
        <v>137</v>
      </c>
      <c r="Q87" s="18">
        <v>0</v>
      </c>
      <c r="R87" s="19">
        <v>20.32</v>
      </c>
      <c r="S87" s="19">
        <v>17.7</v>
      </c>
      <c r="T87" s="19">
        <v>24.2</v>
      </c>
      <c r="U87" s="20">
        <v>213.08</v>
      </c>
      <c r="V87" s="16" t="s">
        <v>5</v>
      </c>
      <c r="W87" s="21">
        <v>0</v>
      </c>
      <c r="X87" s="21">
        <v>0</v>
      </c>
      <c r="Y87" s="21">
        <v>0</v>
      </c>
      <c r="Z87" s="21">
        <v>0</v>
      </c>
      <c r="AA87" s="21">
        <v>0.38</v>
      </c>
      <c r="AB87" s="21">
        <v>0.62</v>
      </c>
      <c r="AC87" s="21">
        <v>0</v>
      </c>
      <c r="AD87" s="21">
        <v>0</v>
      </c>
      <c r="AE87" s="21">
        <v>4.1100000000000003</v>
      </c>
      <c r="AF87" s="21">
        <v>3.65</v>
      </c>
      <c r="AG87" s="21">
        <v>9</v>
      </c>
      <c r="AH87" s="18" t="s">
        <v>26</v>
      </c>
      <c r="AI87" s="13" t="str">
        <f>VLOOKUP(AH87,'Hess and Brezowsky'!$B$2:$G$31,2,FALSE)</f>
        <v>Meridional</v>
      </c>
      <c r="AJ87" s="18" t="str">
        <f>VLOOKUP(AH87,'Hess and Brezowsky'!$B$2:$G$31,3,FALSE)</f>
        <v>A</v>
      </c>
      <c r="AK87" s="13" t="str">
        <f>VLOOKUP(AH87,'Hess and Brezowsky'!$B$2:$G$31,4,FALSE)</f>
        <v>High Scandinavia-Iceland, Ridge Central Europe</v>
      </c>
      <c r="AL87" s="29">
        <v>0.21614583333333334</v>
      </c>
      <c r="AM87" s="29">
        <v>0.49413194444444447</v>
      </c>
      <c r="AN87" s="30">
        <v>0.77211805555555557</v>
      </c>
    </row>
    <row r="88" spans="1:40" ht="15.75" customHeight="1" x14ac:dyDescent="0.2">
      <c r="A88" s="27">
        <v>44808</v>
      </c>
      <c r="B88" s="13">
        <v>2022</v>
      </c>
      <c r="C88" s="13">
        <v>247</v>
      </c>
      <c r="D88" s="13">
        <f t="shared" si="3"/>
        <v>1</v>
      </c>
      <c r="E88" s="13"/>
      <c r="F88" s="13">
        <f t="shared" si="1"/>
        <v>3</v>
      </c>
      <c r="G88" s="14">
        <v>1</v>
      </c>
      <c r="H88" s="14">
        <v>0</v>
      </c>
      <c r="I88" s="14">
        <v>1</v>
      </c>
      <c r="J88" s="14">
        <v>0</v>
      </c>
      <c r="K88" s="14">
        <v>0</v>
      </c>
      <c r="L88" s="14">
        <v>0.95</v>
      </c>
      <c r="M88" s="15">
        <v>172.315</v>
      </c>
      <c r="N88" s="16" t="str">
        <f t="shared" si="4"/>
        <v>S</v>
      </c>
      <c r="O88" s="17">
        <v>6.7</v>
      </c>
      <c r="P88" s="16" t="s">
        <v>138</v>
      </c>
      <c r="Q88" s="18">
        <v>0</v>
      </c>
      <c r="R88" s="19">
        <v>22.71</v>
      </c>
      <c r="S88" s="19">
        <v>15.5</v>
      </c>
      <c r="T88" s="19">
        <v>29.7</v>
      </c>
      <c r="U88" s="20">
        <v>167.69</v>
      </c>
      <c r="V88" s="16" t="s">
        <v>13</v>
      </c>
      <c r="W88" s="21">
        <v>0</v>
      </c>
      <c r="X88" s="21">
        <v>0</v>
      </c>
      <c r="Y88" s="21">
        <v>0</v>
      </c>
      <c r="Z88" s="21">
        <v>0.42</v>
      </c>
      <c r="AA88" s="21">
        <v>0.21</v>
      </c>
      <c r="AB88" s="21">
        <v>0.38</v>
      </c>
      <c r="AC88" s="21">
        <v>0</v>
      </c>
      <c r="AD88" s="21">
        <v>0</v>
      </c>
      <c r="AE88" s="21">
        <v>5.78</v>
      </c>
      <c r="AF88" s="21">
        <v>4.32</v>
      </c>
      <c r="AG88" s="21">
        <v>15.6</v>
      </c>
      <c r="AH88" s="18" t="s">
        <v>27</v>
      </c>
      <c r="AI88" s="13" t="str">
        <f>VLOOKUP(AH88,'Hess and Brezowsky'!$B$2:$G$31,2,FALSE)</f>
        <v>Meridional</v>
      </c>
      <c r="AJ88" s="18" t="str">
        <f>VLOOKUP(AH88,'Hess and Brezowsky'!$B$2:$G$31,3,FALSE)</f>
        <v>A</v>
      </c>
      <c r="AK88" s="13" t="str">
        <f>VLOOKUP(AH88,'Hess and Brezowsky'!$B$2:$G$31,4,FALSE)</f>
        <v>Anticyclonic South-Easterly</v>
      </c>
      <c r="AL88" s="29">
        <v>0.21711805555555555</v>
      </c>
      <c r="AM88" s="29">
        <v>0.49390046296296297</v>
      </c>
      <c r="AN88" s="30">
        <v>0.77068287037037042</v>
      </c>
    </row>
    <row r="89" spans="1:40" ht="15.75" customHeight="1" x14ac:dyDescent="0.2">
      <c r="A89" s="27">
        <v>44809</v>
      </c>
      <c r="B89" s="13">
        <v>2022</v>
      </c>
      <c r="C89" s="13">
        <v>248</v>
      </c>
      <c r="D89" s="13">
        <f t="shared" si="3"/>
        <v>2</v>
      </c>
      <c r="E89" s="13"/>
      <c r="F89" s="13">
        <f t="shared" si="1"/>
        <v>3</v>
      </c>
      <c r="G89" s="14">
        <v>1</v>
      </c>
      <c r="H89" s="14">
        <v>0</v>
      </c>
      <c r="I89" s="14">
        <v>1</v>
      </c>
      <c r="J89" s="14">
        <v>0</v>
      </c>
      <c r="K89" s="14">
        <v>0</v>
      </c>
      <c r="L89" s="14">
        <v>1</v>
      </c>
      <c r="M89" s="15">
        <v>150.57900000000001</v>
      </c>
      <c r="N89" s="16" t="str">
        <f t="shared" si="4"/>
        <v>SE</v>
      </c>
      <c r="O89" s="17">
        <v>5.6</v>
      </c>
      <c r="P89" s="16" t="s">
        <v>137</v>
      </c>
      <c r="Q89" s="18">
        <v>11.2</v>
      </c>
      <c r="R89" s="19">
        <v>22.38</v>
      </c>
      <c r="S89" s="19">
        <v>17.3</v>
      </c>
      <c r="T89" s="19">
        <v>30.3</v>
      </c>
      <c r="U89" s="20">
        <v>150.31</v>
      </c>
      <c r="V89" s="16" t="s">
        <v>11</v>
      </c>
      <c r="W89" s="21">
        <v>0.04</v>
      </c>
      <c r="X89" s="21">
        <v>0</v>
      </c>
      <c r="Y89" s="21">
        <v>0.17</v>
      </c>
      <c r="Z89" s="21">
        <v>0.42</v>
      </c>
      <c r="AA89" s="21">
        <v>0.21</v>
      </c>
      <c r="AB89" s="21">
        <v>0</v>
      </c>
      <c r="AC89" s="21">
        <v>0.17</v>
      </c>
      <c r="AD89" s="21">
        <v>0</v>
      </c>
      <c r="AE89" s="21">
        <v>5.44</v>
      </c>
      <c r="AF89" s="21">
        <v>4.04</v>
      </c>
      <c r="AG89" s="21">
        <v>11</v>
      </c>
      <c r="AH89" s="18" t="s">
        <v>27</v>
      </c>
      <c r="AI89" s="13" t="str">
        <f>VLOOKUP(AH89,'Hess and Brezowsky'!$B$2:$G$31,2,FALSE)</f>
        <v>Meridional</v>
      </c>
      <c r="AJ89" s="18" t="str">
        <f>VLOOKUP(AH89,'Hess and Brezowsky'!$B$2:$G$31,3,FALSE)</f>
        <v>A</v>
      </c>
      <c r="AK89" s="13" t="str">
        <f>VLOOKUP(AH89,'Hess and Brezowsky'!$B$2:$G$31,4,FALSE)</f>
        <v>Anticyclonic South-Easterly</v>
      </c>
      <c r="AL89" s="29">
        <v>0.21810185185185185</v>
      </c>
      <c r="AM89" s="29">
        <v>0.49366898148148147</v>
      </c>
      <c r="AN89" s="30">
        <v>0.76923611111111112</v>
      </c>
    </row>
    <row r="90" spans="1:40" ht="15.75" customHeight="1" x14ac:dyDescent="0.2">
      <c r="A90" s="27">
        <v>44810</v>
      </c>
      <c r="B90" s="13">
        <v>2022</v>
      </c>
      <c r="C90" s="13">
        <v>249</v>
      </c>
      <c r="D90" s="13">
        <f t="shared" si="3"/>
        <v>3</v>
      </c>
      <c r="E90" s="13"/>
      <c r="F90" s="13">
        <f t="shared" si="1"/>
        <v>3</v>
      </c>
      <c r="G90" s="14">
        <v>1</v>
      </c>
      <c r="H90" s="14">
        <v>0</v>
      </c>
      <c r="I90" s="14">
        <v>1</v>
      </c>
      <c r="J90" s="14">
        <v>0</v>
      </c>
      <c r="K90" s="14">
        <v>0</v>
      </c>
      <c r="L90" s="14">
        <v>1</v>
      </c>
      <c r="M90" s="15">
        <v>245.001</v>
      </c>
      <c r="N90" s="16" t="str">
        <f t="shared" si="4"/>
        <v>SW</v>
      </c>
      <c r="O90" s="17">
        <v>5.5</v>
      </c>
      <c r="P90" s="16" t="s">
        <v>137</v>
      </c>
      <c r="Q90" s="18">
        <v>0.4</v>
      </c>
      <c r="R90" s="19">
        <v>21.53</v>
      </c>
      <c r="S90" s="19">
        <v>16.100000000000001</v>
      </c>
      <c r="T90" s="19">
        <v>29.1</v>
      </c>
      <c r="U90" s="20">
        <v>251.81</v>
      </c>
      <c r="V90" s="16" t="s">
        <v>16</v>
      </c>
      <c r="W90" s="21">
        <v>0</v>
      </c>
      <c r="X90" s="21">
        <v>0</v>
      </c>
      <c r="Y90" s="21">
        <v>0</v>
      </c>
      <c r="Z90" s="21">
        <v>0</v>
      </c>
      <c r="AA90" s="21">
        <v>0.33</v>
      </c>
      <c r="AB90" s="21">
        <v>0.21</v>
      </c>
      <c r="AC90" s="21">
        <v>0.33</v>
      </c>
      <c r="AD90" s="21">
        <v>0.12</v>
      </c>
      <c r="AE90" s="21">
        <v>4.8499999999999996</v>
      </c>
      <c r="AF90" s="21">
        <v>3.8</v>
      </c>
      <c r="AG90" s="21">
        <v>11.9</v>
      </c>
      <c r="AH90" s="18" t="s">
        <v>27</v>
      </c>
      <c r="AI90" s="13" t="str">
        <f>VLOOKUP(AH90,'Hess and Brezowsky'!$B$2:$G$31,2,FALSE)</f>
        <v>Meridional</v>
      </c>
      <c r="AJ90" s="18" t="str">
        <f>VLOOKUP(AH90,'Hess and Brezowsky'!$B$2:$G$31,3,FALSE)</f>
        <v>A</v>
      </c>
      <c r="AK90" s="13" t="str">
        <f>VLOOKUP(AH90,'Hess and Brezowsky'!$B$2:$G$31,4,FALSE)</f>
        <v>Anticyclonic South-Easterly</v>
      </c>
      <c r="AL90" s="29">
        <v>0.21907407407407409</v>
      </c>
      <c r="AM90" s="29">
        <v>0.49342592592592593</v>
      </c>
      <c r="AN90" s="30">
        <v>0.76777777777777778</v>
      </c>
    </row>
    <row r="91" spans="1:40" ht="15.75" customHeight="1" x14ac:dyDescent="0.2">
      <c r="A91" s="27">
        <v>44811</v>
      </c>
      <c r="B91" s="13">
        <v>2022</v>
      </c>
      <c r="C91" s="13">
        <v>250</v>
      </c>
      <c r="D91" s="13">
        <f t="shared" si="3"/>
        <v>4</v>
      </c>
      <c r="E91" s="13"/>
      <c r="F91" s="13">
        <f t="shared" si="1"/>
        <v>3</v>
      </c>
      <c r="G91" s="14">
        <v>1</v>
      </c>
      <c r="H91" s="14">
        <v>0</v>
      </c>
      <c r="I91" s="14">
        <v>1</v>
      </c>
      <c r="J91" s="14">
        <v>0</v>
      </c>
      <c r="K91" s="14">
        <v>0</v>
      </c>
      <c r="L91" s="14">
        <v>1</v>
      </c>
      <c r="M91" s="15">
        <v>214.94499999999999</v>
      </c>
      <c r="N91" s="16" t="str">
        <f t="shared" si="4"/>
        <v>SW</v>
      </c>
      <c r="O91" s="17">
        <v>6.6</v>
      </c>
      <c r="P91" s="16" t="s">
        <v>140</v>
      </c>
      <c r="Q91" s="18">
        <v>4.4000000000000004</v>
      </c>
      <c r="R91" s="19">
        <v>18.16</v>
      </c>
      <c r="S91" s="19">
        <v>15.3</v>
      </c>
      <c r="T91" s="19">
        <v>21.9</v>
      </c>
      <c r="U91" s="20">
        <v>212.83</v>
      </c>
      <c r="V91" s="16" t="s">
        <v>5</v>
      </c>
      <c r="W91" s="21">
        <v>0</v>
      </c>
      <c r="X91" s="21">
        <v>0</v>
      </c>
      <c r="Y91" s="21">
        <v>0</v>
      </c>
      <c r="Z91" s="21">
        <v>0</v>
      </c>
      <c r="AA91" s="21">
        <v>0.42</v>
      </c>
      <c r="AB91" s="21">
        <v>0.57999999999999996</v>
      </c>
      <c r="AC91" s="21">
        <v>0</v>
      </c>
      <c r="AD91" s="21">
        <v>0</v>
      </c>
      <c r="AE91" s="21">
        <v>5.86</v>
      </c>
      <c r="AF91" s="21">
        <v>5.62</v>
      </c>
      <c r="AG91" s="21">
        <v>10.1</v>
      </c>
      <c r="AH91" s="18" t="s">
        <v>17</v>
      </c>
      <c r="AI91" s="13" t="str">
        <f>VLOOKUP(AH91,'Hess and Brezowsky'!$B$2:$G$31,2,FALSE)</f>
        <v>Meridional</v>
      </c>
      <c r="AJ91" s="18" t="str">
        <f>VLOOKUP(AH91,'Hess and Brezowsky'!$B$2:$G$31,3,FALSE)</f>
        <v>C</v>
      </c>
      <c r="AK91" s="13" t="str">
        <f>VLOOKUP(AH91,'Hess and Brezowsky'!$B$2:$G$31,4,FALSE)</f>
        <v>Scandinavian High, Trough Central Europe</v>
      </c>
      <c r="AL91" s="29">
        <v>0.22005787037037036</v>
      </c>
      <c r="AM91" s="29">
        <v>0.49319444444444444</v>
      </c>
      <c r="AN91" s="30">
        <v>0.76631944444444444</v>
      </c>
    </row>
    <row r="92" spans="1:40" ht="15.75" customHeight="1" x14ac:dyDescent="0.2">
      <c r="A92" s="27">
        <v>44812</v>
      </c>
      <c r="B92" s="13">
        <v>2022</v>
      </c>
      <c r="C92" s="13">
        <v>251</v>
      </c>
      <c r="D92" s="13">
        <f t="shared" si="3"/>
        <v>5</v>
      </c>
      <c r="E92" s="13"/>
      <c r="F92" s="13">
        <f t="shared" si="1"/>
        <v>2</v>
      </c>
      <c r="G92" s="14">
        <v>0</v>
      </c>
      <c r="H92" s="14">
        <v>0</v>
      </c>
      <c r="I92" s="14">
        <v>1</v>
      </c>
      <c r="J92" s="14">
        <v>0</v>
      </c>
      <c r="K92" s="14">
        <v>0</v>
      </c>
      <c r="L92" s="14">
        <v>1</v>
      </c>
      <c r="M92" s="15">
        <v>222.173</v>
      </c>
      <c r="N92" s="16" t="str">
        <f t="shared" si="4"/>
        <v>SW</v>
      </c>
      <c r="O92" s="17">
        <v>8.1</v>
      </c>
      <c r="P92" s="16" t="s">
        <v>137</v>
      </c>
      <c r="Q92" s="18">
        <v>0.2</v>
      </c>
      <c r="R92" s="19">
        <v>17.989999999999998</v>
      </c>
      <c r="S92" s="19">
        <v>14.9</v>
      </c>
      <c r="T92" s="19">
        <v>23.4</v>
      </c>
      <c r="U92" s="20">
        <v>219.41</v>
      </c>
      <c r="V92" s="16" t="s">
        <v>5</v>
      </c>
      <c r="W92" s="21">
        <v>0</v>
      </c>
      <c r="X92" s="21">
        <v>0</v>
      </c>
      <c r="Y92" s="21">
        <v>0</v>
      </c>
      <c r="Z92" s="21">
        <v>0</v>
      </c>
      <c r="AA92" s="21">
        <v>0.17</v>
      </c>
      <c r="AB92" s="21">
        <v>0.83</v>
      </c>
      <c r="AC92" s="21">
        <v>0</v>
      </c>
      <c r="AD92" s="21">
        <v>0</v>
      </c>
      <c r="AE92" s="21">
        <v>7.82</v>
      </c>
      <c r="AF92" s="21">
        <v>7.6</v>
      </c>
      <c r="AG92" s="21">
        <v>14.6</v>
      </c>
      <c r="AH92" s="18" t="s">
        <v>17</v>
      </c>
      <c r="AI92" s="13" t="str">
        <f>VLOOKUP(AH92,'Hess and Brezowsky'!$B$2:$G$31,2,FALSE)</f>
        <v>Meridional</v>
      </c>
      <c r="AJ92" s="18" t="str">
        <f>VLOOKUP(AH92,'Hess and Brezowsky'!$B$2:$G$31,3,FALSE)</f>
        <v>C</v>
      </c>
      <c r="AK92" s="13" t="str">
        <f>VLOOKUP(AH92,'Hess and Brezowsky'!$B$2:$G$31,4,FALSE)</f>
        <v>Scandinavian High, Trough Central Europe</v>
      </c>
      <c r="AL92" s="29">
        <v>0.2210300925925926</v>
      </c>
      <c r="AM92" s="29">
        <v>0.4929513888888889</v>
      </c>
      <c r="AN92" s="30">
        <v>0.7648611111111111</v>
      </c>
    </row>
    <row r="93" spans="1:40" ht="15.75" customHeight="1" x14ac:dyDescent="0.2">
      <c r="A93" s="27">
        <v>44813</v>
      </c>
      <c r="B93" s="13">
        <v>2022</v>
      </c>
      <c r="C93" s="13">
        <v>252</v>
      </c>
      <c r="D93" s="13">
        <f t="shared" si="3"/>
        <v>6</v>
      </c>
      <c r="E93" s="13"/>
      <c r="F93" s="13">
        <f t="shared" si="1"/>
        <v>3</v>
      </c>
      <c r="G93" s="14">
        <v>1</v>
      </c>
      <c r="H93" s="14">
        <v>0</v>
      </c>
      <c r="I93" s="14">
        <v>1</v>
      </c>
      <c r="J93" s="14">
        <v>0</v>
      </c>
      <c r="K93" s="14">
        <v>0</v>
      </c>
      <c r="L93" s="14">
        <v>1</v>
      </c>
      <c r="M93" s="15">
        <v>238.517</v>
      </c>
      <c r="N93" s="16" t="str">
        <f t="shared" si="4"/>
        <v>SW</v>
      </c>
      <c r="O93" s="17">
        <v>10.6</v>
      </c>
      <c r="P93" s="16" t="s">
        <v>137</v>
      </c>
      <c r="Q93" s="18">
        <v>3.8</v>
      </c>
      <c r="R93" s="19">
        <v>16.89</v>
      </c>
      <c r="S93" s="19">
        <v>15.1</v>
      </c>
      <c r="T93" s="19">
        <v>19.899999999999999</v>
      </c>
      <c r="U93" s="20">
        <v>240.28</v>
      </c>
      <c r="V93" s="16" t="s">
        <v>5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0.75</v>
      </c>
      <c r="AC93" s="21">
        <v>0.25</v>
      </c>
      <c r="AD93" s="21">
        <v>0</v>
      </c>
      <c r="AE93" s="21">
        <v>11.24</v>
      </c>
      <c r="AF93" s="21">
        <v>10.96</v>
      </c>
      <c r="AG93" s="21">
        <v>15.9</v>
      </c>
      <c r="AH93" s="18" t="s">
        <v>17</v>
      </c>
      <c r="AI93" s="13" t="str">
        <f>VLOOKUP(AH93,'Hess and Brezowsky'!$B$2:$G$31,2,FALSE)</f>
        <v>Meridional</v>
      </c>
      <c r="AJ93" s="18" t="str">
        <f>VLOOKUP(AH93,'Hess and Brezowsky'!$B$2:$G$31,3,FALSE)</f>
        <v>C</v>
      </c>
      <c r="AK93" s="13" t="str">
        <f>VLOOKUP(AH93,'Hess and Brezowsky'!$B$2:$G$31,4,FALSE)</f>
        <v>Scandinavian High, Trough Central Europe</v>
      </c>
      <c r="AL93" s="29">
        <v>0.22200231481481481</v>
      </c>
      <c r="AM93" s="29">
        <v>0.49269675925925926</v>
      </c>
      <c r="AN93" s="30">
        <v>0.76339120370370372</v>
      </c>
    </row>
    <row r="94" spans="1:40" ht="15.75" customHeight="1" x14ac:dyDescent="0.2">
      <c r="A94" s="27">
        <v>44814</v>
      </c>
      <c r="B94" s="13">
        <v>2022</v>
      </c>
      <c r="C94" s="13">
        <v>253</v>
      </c>
      <c r="D94" s="13">
        <f t="shared" si="3"/>
        <v>7</v>
      </c>
      <c r="E94" s="13"/>
      <c r="F94" s="13">
        <f t="shared" si="1"/>
        <v>3</v>
      </c>
      <c r="G94" s="14">
        <v>1</v>
      </c>
      <c r="H94" s="14">
        <v>0</v>
      </c>
      <c r="I94" s="14">
        <v>1</v>
      </c>
      <c r="J94" s="14">
        <v>0</v>
      </c>
      <c r="K94" s="14">
        <v>0</v>
      </c>
      <c r="L94" s="14">
        <v>1</v>
      </c>
      <c r="M94" s="15">
        <v>263.24299999999999</v>
      </c>
      <c r="N94" s="16" t="str">
        <f t="shared" si="4"/>
        <v>W</v>
      </c>
      <c r="O94" s="17">
        <v>7</v>
      </c>
      <c r="P94" s="16" t="s">
        <v>137</v>
      </c>
      <c r="Q94" s="18">
        <v>5.2</v>
      </c>
      <c r="R94" s="19">
        <v>16.45</v>
      </c>
      <c r="S94" s="19">
        <v>14.9</v>
      </c>
      <c r="T94" s="19">
        <v>19.899999999999999</v>
      </c>
      <c r="U94" s="20">
        <v>264.11</v>
      </c>
      <c r="V94" s="16" t="s">
        <v>16</v>
      </c>
      <c r="W94" s="21">
        <v>0.04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0.83</v>
      </c>
      <c r="AD94" s="21">
        <v>0.12</v>
      </c>
      <c r="AE94" s="21">
        <v>7.99</v>
      </c>
      <c r="AF94" s="21">
        <v>7.64</v>
      </c>
      <c r="AG94" s="21">
        <v>16.2</v>
      </c>
      <c r="AH94" s="18" t="s">
        <v>17</v>
      </c>
      <c r="AI94" s="13" t="str">
        <f>VLOOKUP(AH94,'Hess and Brezowsky'!$B$2:$G$31,2,FALSE)</f>
        <v>Meridional</v>
      </c>
      <c r="AJ94" s="18" t="str">
        <f>VLOOKUP(AH94,'Hess and Brezowsky'!$B$2:$G$31,3,FALSE)</f>
        <v>C</v>
      </c>
      <c r="AK94" s="13" t="str">
        <f>VLOOKUP(AH94,'Hess and Brezowsky'!$B$2:$G$31,4,FALSE)</f>
        <v>Scandinavian High, Trough Central Europe</v>
      </c>
      <c r="AL94" s="29">
        <v>0.22298611111111111</v>
      </c>
      <c r="AM94" s="29">
        <v>0.49245370370370373</v>
      </c>
      <c r="AN94" s="30">
        <v>0.76192129629629635</v>
      </c>
    </row>
    <row r="95" spans="1:40" ht="15.75" customHeight="1" x14ac:dyDescent="0.2">
      <c r="A95" s="27">
        <v>44815</v>
      </c>
      <c r="B95" s="13">
        <v>2022</v>
      </c>
      <c r="C95" s="13">
        <v>254</v>
      </c>
      <c r="D95" s="13">
        <f t="shared" si="3"/>
        <v>1</v>
      </c>
      <c r="E95" s="13"/>
      <c r="F95" s="13">
        <f t="shared" si="1"/>
        <v>3</v>
      </c>
      <c r="G95" s="14">
        <v>1</v>
      </c>
      <c r="H95" s="14">
        <v>0</v>
      </c>
      <c r="I95" s="14">
        <v>1</v>
      </c>
      <c r="J95" s="14">
        <v>0</v>
      </c>
      <c r="K95" s="14">
        <v>0</v>
      </c>
      <c r="L95" s="14">
        <v>1</v>
      </c>
      <c r="M95" s="15">
        <v>116.30200000000001</v>
      </c>
      <c r="N95" s="16" t="str">
        <f t="shared" si="4"/>
        <v>SE</v>
      </c>
      <c r="O95" s="17">
        <v>4.3</v>
      </c>
      <c r="P95" s="16" t="s">
        <v>137</v>
      </c>
      <c r="Q95" s="18">
        <v>0.4</v>
      </c>
      <c r="R95" s="19">
        <v>17.54</v>
      </c>
      <c r="S95" s="19">
        <v>13.1</v>
      </c>
      <c r="T95" s="19">
        <v>23.1</v>
      </c>
      <c r="U95" s="20">
        <v>121.14</v>
      </c>
      <c r="V95" s="16" t="s">
        <v>11</v>
      </c>
      <c r="W95" s="21">
        <v>0.08</v>
      </c>
      <c r="X95" s="21">
        <v>0.12</v>
      </c>
      <c r="Y95" s="21">
        <v>0.04</v>
      </c>
      <c r="Z95" s="21">
        <v>0.75</v>
      </c>
      <c r="AA95" s="21">
        <v>0</v>
      </c>
      <c r="AB95" s="21">
        <v>0</v>
      </c>
      <c r="AC95" s="21">
        <v>0</v>
      </c>
      <c r="AD95" s="21">
        <v>0</v>
      </c>
      <c r="AE95" s="21">
        <v>3.92</v>
      </c>
      <c r="AF95" s="21">
        <v>3.31</v>
      </c>
      <c r="AG95" s="21">
        <v>11.5</v>
      </c>
      <c r="AH95" s="18" t="s">
        <v>12</v>
      </c>
      <c r="AI95" s="13" t="str">
        <f>VLOOKUP(AH95,'Hess and Brezowsky'!$B$2:$G$31,2,FALSE)</f>
        <v>Undefined</v>
      </c>
      <c r="AJ95" s="18" t="str">
        <f>VLOOKUP(AH95,'Hess and Brezowsky'!$B$2:$G$31,3,FALSE)</f>
        <v>M</v>
      </c>
      <c r="AK95" s="13" t="str">
        <f>VLOOKUP(AH95,'Hess and Brezowsky'!$B$2:$G$31,4,FALSE)</f>
        <v>Transistion / Undefined</v>
      </c>
      <c r="AL95" s="29">
        <v>0.22395833333333334</v>
      </c>
      <c r="AM95" s="29">
        <v>0.49219907407407409</v>
      </c>
      <c r="AN95" s="30">
        <v>0.76045138888888886</v>
      </c>
    </row>
    <row r="96" spans="1:40" ht="15.75" customHeight="1" x14ac:dyDescent="0.2">
      <c r="A96" s="27">
        <v>44816</v>
      </c>
      <c r="B96" s="13">
        <v>2022</v>
      </c>
      <c r="C96" s="13">
        <v>255</v>
      </c>
      <c r="D96" s="13">
        <f t="shared" si="3"/>
        <v>2</v>
      </c>
      <c r="E96" s="13"/>
      <c r="F96" s="13">
        <f t="shared" si="1"/>
        <v>3</v>
      </c>
      <c r="G96" s="14">
        <v>1</v>
      </c>
      <c r="H96" s="14">
        <v>0</v>
      </c>
      <c r="I96" s="14">
        <v>1</v>
      </c>
      <c r="J96" s="14">
        <v>0</v>
      </c>
      <c r="K96" s="14">
        <v>0</v>
      </c>
      <c r="L96" s="14">
        <v>1</v>
      </c>
      <c r="M96" s="15">
        <v>140.005</v>
      </c>
      <c r="N96" s="16" t="str">
        <f t="shared" si="4"/>
        <v>SE</v>
      </c>
      <c r="O96" s="17">
        <v>6.5</v>
      </c>
      <c r="P96" s="16" t="s">
        <v>138</v>
      </c>
      <c r="Q96" s="18">
        <v>0</v>
      </c>
      <c r="R96" s="19">
        <v>20.65</v>
      </c>
      <c r="S96" s="19">
        <v>13.9</v>
      </c>
      <c r="T96" s="19">
        <v>27.5</v>
      </c>
      <c r="U96" s="20">
        <v>142.35</v>
      </c>
      <c r="V96" s="16" t="s">
        <v>11</v>
      </c>
      <c r="W96" s="21">
        <v>0</v>
      </c>
      <c r="X96" s="21">
        <v>0</v>
      </c>
      <c r="Y96" s="21">
        <v>0</v>
      </c>
      <c r="Z96" s="21">
        <v>0.88</v>
      </c>
      <c r="AA96" s="21">
        <v>0.12</v>
      </c>
      <c r="AB96" s="21">
        <v>0</v>
      </c>
      <c r="AC96" s="21">
        <v>0</v>
      </c>
      <c r="AD96" s="21">
        <v>0</v>
      </c>
      <c r="AE96" s="21">
        <v>6.89</v>
      </c>
      <c r="AF96" s="21">
        <v>6.73</v>
      </c>
      <c r="AG96" s="21">
        <v>10.5</v>
      </c>
      <c r="AH96" s="18" t="s">
        <v>28</v>
      </c>
      <c r="AI96" s="13" t="str">
        <f>VLOOKUP(AH96,'Hess and Brezowsky'!$B$2:$G$31,2,FALSE)</f>
        <v>Zonal</v>
      </c>
      <c r="AJ96" s="18" t="str">
        <f>VLOOKUP(AH96,'Hess and Brezowsky'!$B$2:$G$31,3,FALSE)</f>
        <v>C</v>
      </c>
      <c r="AK96" s="13" t="str">
        <f>VLOOKUP(AH96,'Hess and Brezowsky'!$B$2:$G$31,4,FALSE)</f>
        <v>Cyclonic Westerly</v>
      </c>
      <c r="AL96" s="29">
        <v>0.22493055555555555</v>
      </c>
      <c r="AM96" s="29">
        <v>0.4919560185185185</v>
      </c>
      <c r="AN96" s="30">
        <v>0.75896990740740744</v>
      </c>
    </row>
    <row r="97" spans="1:40" ht="15.75" customHeight="1" x14ac:dyDescent="0.2">
      <c r="A97" s="27">
        <v>44817</v>
      </c>
      <c r="B97" s="13">
        <v>2022</v>
      </c>
      <c r="C97" s="13">
        <v>256</v>
      </c>
      <c r="D97" s="13">
        <f t="shared" si="3"/>
        <v>3</v>
      </c>
      <c r="E97" s="13"/>
      <c r="F97" s="13">
        <f t="shared" si="1"/>
        <v>3</v>
      </c>
      <c r="G97" s="14">
        <v>1</v>
      </c>
      <c r="H97" s="14">
        <v>0</v>
      </c>
      <c r="I97" s="14">
        <v>1</v>
      </c>
      <c r="J97" s="14">
        <v>0</v>
      </c>
      <c r="K97" s="14">
        <v>0</v>
      </c>
      <c r="L97" s="14">
        <v>1</v>
      </c>
      <c r="M97" s="15">
        <v>117.755</v>
      </c>
      <c r="N97" s="16" t="str">
        <f t="shared" si="4"/>
        <v>SE</v>
      </c>
      <c r="O97" s="17">
        <v>6.3</v>
      </c>
      <c r="P97" s="16" t="s">
        <v>137</v>
      </c>
      <c r="Q97" s="18">
        <v>0.4</v>
      </c>
      <c r="R97" s="19">
        <v>22.35</v>
      </c>
      <c r="S97" s="19">
        <v>19.5</v>
      </c>
      <c r="T97" s="19">
        <v>26.3</v>
      </c>
      <c r="U97" s="20">
        <v>120.45</v>
      </c>
      <c r="V97" s="16" t="s">
        <v>11</v>
      </c>
      <c r="W97" s="21">
        <v>0</v>
      </c>
      <c r="X97" s="21">
        <v>0.17</v>
      </c>
      <c r="Y97" s="21">
        <v>0.21</v>
      </c>
      <c r="Z97" s="21">
        <v>0.46</v>
      </c>
      <c r="AA97" s="21">
        <v>0.12</v>
      </c>
      <c r="AB97" s="21">
        <v>0.04</v>
      </c>
      <c r="AC97" s="21">
        <v>0</v>
      </c>
      <c r="AD97" s="21">
        <v>0</v>
      </c>
      <c r="AE97" s="21">
        <v>6.58</v>
      </c>
      <c r="AF97" s="21">
        <v>4.7</v>
      </c>
      <c r="AG97" s="21">
        <v>14.8</v>
      </c>
      <c r="AH97" s="18" t="s">
        <v>28</v>
      </c>
      <c r="AI97" s="13" t="str">
        <f>VLOOKUP(AH97,'Hess and Brezowsky'!$B$2:$G$31,2,FALSE)</f>
        <v>Zonal</v>
      </c>
      <c r="AJ97" s="18" t="str">
        <f>VLOOKUP(AH97,'Hess and Brezowsky'!$B$2:$G$31,3,FALSE)</f>
        <v>C</v>
      </c>
      <c r="AK97" s="13" t="str">
        <f>VLOOKUP(AH97,'Hess and Brezowsky'!$B$2:$G$31,4,FALSE)</f>
        <v>Cyclonic Westerly</v>
      </c>
      <c r="AL97" s="29">
        <v>0.22591435185185185</v>
      </c>
      <c r="AM97" s="29">
        <v>0.49170138888888887</v>
      </c>
      <c r="AN97" s="30">
        <v>0.75748842592592591</v>
      </c>
    </row>
    <row r="98" spans="1:40" ht="15.75" customHeight="1" x14ac:dyDescent="0.2">
      <c r="A98" s="27">
        <v>44818</v>
      </c>
      <c r="B98" s="13">
        <v>2022</v>
      </c>
      <c r="C98" s="13">
        <v>257</v>
      </c>
      <c r="D98" s="13">
        <f t="shared" si="3"/>
        <v>4</v>
      </c>
      <c r="E98" s="13"/>
      <c r="F98" s="13">
        <f t="shared" si="1"/>
        <v>3</v>
      </c>
      <c r="G98" s="14">
        <v>1</v>
      </c>
      <c r="H98" s="14">
        <v>0</v>
      </c>
      <c r="I98" s="14">
        <v>1</v>
      </c>
      <c r="J98" s="14">
        <v>0</v>
      </c>
      <c r="K98" s="14">
        <v>0</v>
      </c>
      <c r="L98" s="14">
        <v>1</v>
      </c>
      <c r="M98" s="15">
        <v>250.38399999999999</v>
      </c>
      <c r="N98" s="16" t="str">
        <f t="shared" si="4"/>
        <v>W</v>
      </c>
      <c r="O98" s="17">
        <v>6.6</v>
      </c>
      <c r="P98" s="16" t="s">
        <v>137</v>
      </c>
      <c r="Q98" s="18">
        <v>0.2</v>
      </c>
      <c r="R98" s="19">
        <v>22.15</v>
      </c>
      <c r="S98" s="19">
        <v>19.2</v>
      </c>
      <c r="T98" s="19">
        <v>26.5</v>
      </c>
      <c r="U98" s="20">
        <v>248.79</v>
      </c>
      <c r="V98" s="16" t="s">
        <v>16</v>
      </c>
      <c r="W98" s="21">
        <v>0</v>
      </c>
      <c r="X98" s="21">
        <v>0</v>
      </c>
      <c r="Y98" s="21">
        <v>0</v>
      </c>
      <c r="Z98" s="21">
        <v>0</v>
      </c>
      <c r="AA98" s="21">
        <v>0.17</v>
      </c>
      <c r="AB98" s="21">
        <v>0.33</v>
      </c>
      <c r="AC98" s="21">
        <v>0.28999999999999998</v>
      </c>
      <c r="AD98" s="21">
        <v>0.21</v>
      </c>
      <c r="AE98" s="21">
        <v>5.73</v>
      </c>
      <c r="AF98" s="21">
        <v>4.3499999999999996</v>
      </c>
      <c r="AG98" s="21">
        <v>11.1</v>
      </c>
      <c r="AH98" s="18" t="s">
        <v>28</v>
      </c>
      <c r="AI98" s="13" t="str">
        <f>VLOOKUP(AH98,'Hess and Brezowsky'!$B$2:$G$31,2,FALSE)</f>
        <v>Zonal</v>
      </c>
      <c r="AJ98" s="18" t="str">
        <f>VLOOKUP(AH98,'Hess and Brezowsky'!$B$2:$G$31,3,FALSE)</f>
        <v>C</v>
      </c>
      <c r="AK98" s="13" t="str">
        <f>VLOOKUP(AH98,'Hess and Brezowsky'!$B$2:$G$31,4,FALSE)</f>
        <v>Cyclonic Westerly</v>
      </c>
      <c r="AL98" s="29">
        <v>0.22688657407407409</v>
      </c>
      <c r="AM98" s="29">
        <v>0.49144675925925924</v>
      </c>
      <c r="AN98" s="30">
        <v>0.7560069444444445</v>
      </c>
    </row>
    <row r="99" spans="1:40" ht="15.75" customHeight="1" x14ac:dyDescent="0.2">
      <c r="A99" s="27">
        <v>44819</v>
      </c>
      <c r="B99" s="13">
        <v>2022</v>
      </c>
      <c r="C99" s="13">
        <v>258</v>
      </c>
      <c r="D99" s="13">
        <f t="shared" si="3"/>
        <v>5</v>
      </c>
      <c r="E99" s="13"/>
      <c r="F99" s="13">
        <f t="shared" si="1"/>
        <v>3</v>
      </c>
      <c r="G99" s="14">
        <v>1</v>
      </c>
      <c r="H99" s="14">
        <v>0</v>
      </c>
      <c r="I99" s="14">
        <v>1</v>
      </c>
      <c r="J99" s="14">
        <v>0</v>
      </c>
      <c r="K99" s="14">
        <v>0</v>
      </c>
      <c r="L99" s="14">
        <v>1</v>
      </c>
      <c r="M99" s="15">
        <v>340.83199999999999</v>
      </c>
      <c r="N99" s="16" t="str">
        <f t="shared" si="4"/>
        <v>N</v>
      </c>
      <c r="O99" s="17">
        <v>5.3</v>
      </c>
      <c r="P99" s="16" t="s">
        <v>137</v>
      </c>
      <c r="Q99" s="18">
        <v>0</v>
      </c>
      <c r="R99" s="19">
        <v>18.600000000000001</v>
      </c>
      <c r="S99" s="19">
        <v>15.2</v>
      </c>
      <c r="T99" s="19">
        <v>22.5</v>
      </c>
      <c r="U99" s="20">
        <v>328.43</v>
      </c>
      <c r="V99" s="16" t="s">
        <v>6</v>
      </c>
      <c r="W99" s="21">
        <v>0.42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0.21</v>
      </c>
      <c r="AD99" s="21">
        <v>0.38</v>
      </c>
      <c r="AE99" s="21">
        <v>5.13</v>
      </c>
      <c r="AF99" s="21">
        <v>4.5599999999999996</v>
      </c>
      <c r="AG99" s="21">
        <v>9.4</v>
      </c>
      <c r="AH99" s="18" t="s">
        <v>29</v>
      </c>
      <c r="AI99" s="13" t="str">
        <f>VLOOKUP(AH99,'Hess and Brezowsky'!$B$2:$G$31,2,FALSE)</f>
        <v>Mixed</v>
      </c>
      <c r="AJ99" s="18" t="str">
        <f>VLOOKUP(AH99,'Hess and Brezowsky'!$B$2:$G$31,3,FALSE)</f>
        <v>C</v>
      </c>
      <c r="AK99" s="13" t="str">
        <f>VLOOKUP(AH99,'Hess and Brezowsky'!$B$2:$G$31,4,FALSE)</f>
        <v>Cyclonic North-Westerly</v>
      </c>
      <c r="AL99" s="29">
        <v>0.2278587962962963</v>
      </c>
      <c r="AM99" s="29">
        <v>0.4911921296296296</v>
      </c>
      <c r="AN99" s="30">
        <v>0.75452546296296297</v>
      </c>
    </row>
    <row r="100" spans="1:40" ht="15.75" customHeight="1" x14ac:dyDescent="0.2">
      <c r="A100" s="27">
        <v>44820</v>
      </c>
      <c r="B100" s="13">
        <v>2022</v>
      </c>
      <c r="C100" s="13">
        <v>259</v>
      </c>
      <c r="D100" s="13">
        <f t="shared" si="3"/>
        <v>6</v>
      </c>
      <c r="E100" s="13"/>
      <c r="F100" s="13">
        <f t="shared" si="1"/>
        <v>3</v>
      </c>
      <c r="G100" s="14">
        <v>1</v>
      </c>
      <c r="H100" s="14">
        <v>0</v>
      </c>
      <c r="I100" s="14">
        <v>1</v>
      </c>
      <c r="J100" s="14">
        <v>0</v>
      </c>
      <c r="K100" s="14">
        <v>0</v>
      </c>
      <c r="L100" s="14">
        <v>1</v>
      </c>
      <c r="M100" s="15">
        <v>349.00200000000001</v>
      </c>
      <c r="N100" s="16" t="str">
        <f t="shared" si="4"/>
        <v>N</v>
      </c>
      <c r="O100" s="17">
        <v>6.2</v>
      </c>
      <c r="P100" s="16" t="s">
        <v>137</v>
      </c>
      <c r="Q100" s="18">
        <v>0.2</v>
      </c>
      <c r="R100" s="19">
        <v>15.08</v>
      </c>
      <c r="S100" s="19">
        <v>11.8</v>
      </c>
      <c r="T100" s="19">
        <v>18.7</v>
      </c>
      <c r="U100" s="20">
        <v>340.47</v>
      </c>
      <c r="V100" s="16" t="s">
        <v>7</v>
      </c>
      <c r="W100" s="21">
        <v>0.46</v>
      </c>
      <c r="X100" s="21">
        <v>0.12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0.42</v>
      </c>
      <c r="AE100" s="21">
        <v>6.03</v>
      </c>
      <c r="AF100" s="21">
        <v>5.65</v>
      </c>
      <c r="AG100" s="21">
        <v>12.6</v>
      </c>
      <c r="AH100" s="18" t="s">
        <v>29</v>
      </c>
      <c r="AI100" s="13" t="str">
        <f>VLOOKUP(AH100,'Hess and Brezowsky'!$B$2:$G$31,2,FALSE)</f>
        <v>Mixed</v>
      </c>
      <c r="AJ100" s="18" t="str">
        <f>VLOOKUP(AH100,'Hess and Brezowsky'!$B$2:$G$31,3,FALSE)</f>
        <v>C</v>
      </c>
      <c r="AK100" s="13" t="str">
        <f>VLOOKUP(AH100,'Hess and Brezowsky'!$B$2:$G$31,4,FALSE)</f>
        <v>Cyclonic North-Westerly</v>
      </c>
      <c r="AL100" s="29">
        <v>0.2288425925925926</v>
      </c>
      <c r="AM100" s="29">
        <v>0.49093750000000003</v>
      </c>
      <c r="AN100" s="30">
        <v>0.7530324074074074</v>
      </c>
    </row>
    <row r="101" spans="1:40" ht="15.75" customHeight="1" x14ac:dyDescent="0.2">
      <c r="A101" s="27">
        <v>44821</v>
      </c>
      <c r="B101" s="13">
        <v>2022</v>
      </c>
      <c r="C101" s="13">
        <v>260</v>
      </c>
      <c r="D101" s="13">
        <f t="shared" si="3"/>
        <v>7</v>
      </c>
      <c r="E101" s="13"/>
      <c r="F101" s="13">
        <f t="shared" si="1"/>
        <v>3</v>
      </c>
      <c r="G101" s="14">
        <v>1</v>
      </c>
      <c r="H101" s="14">
        <v>0</v>
      </c>
      <c r="I101" s="14">
        <v>1</v>
      </c>
      <c r="J101" s="14">
        <v>0</v>
      </c>
      <c r="K101" s="14">
        <v>0</v>
      </c>
      <c r="L101" s="14">
        <v>1</v>
      </c>
      <c r="M101" s="15">
        <v>333.41199999999998</v>
      </c>
      <c r="N101" s="16" t="str">
        <f t="shared" si="4"/>
        <v>NW</v>
      </c>
      <c r="O101" s="17">
        <v>8.1</v>
      </c>
      <c r="P101" s="16" t="s">
        <v>137</v>
      </c>
      <c r="Q101" s="18">
        <v>0</v>
      </c>
      <c r="R101" s="19">
        <v>13.32</v>
      </c>
      <c r="S101" s="19">
        <v>10.3</v>
      </c>
      <c r="T101" s="19">
        <v>17.100000000000001</v>
      </c>
      <c r="U101" s="20">
        <v>324.92</v>
      </c>
      <c r="V101" s="16" t="s">
        <v>6</v>
      </c>
      <c r="W101" s="21">
        <v>0.08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0.92</v>
      </c>
      <c r="AE101" s="21">
        <v>8.4499999999999993</v>
      </c>
      <c r="AF101" s="21">
        <v>8.35</v>
      </c>
      <c r="AG101" s="21">
        <v>11.9</v>
      </c>
      <c r="AH101" s="18" t="s">
        <v>29</v>
      </c>
      <c r="AI101" s="13" t="str">
        <f>VLOOKUP(AH101,'Hess and Brezowsky'!$B$2:$G$31,2,FALSE)</f>
        <v>Mixed</v>
      </c>
      <c r="AJ101" s="18" t="str">
        <f>VLOOKUP(AH101,'Hess and Brezowsky'!$B$2:$G$31,3,FALSE)</f>
        <v>C</v>
      </c>
      <c r="AK101" s="13" t="str">
        <f>VLOOKUP(AH101,'Hess and Brezowsky'!$B$2:$G$31,4,FALSE)</f>
        <v>Cyclonic North-Westerly</v>
      </c>
      <c r="AL101" s="29">
        <v>0.22981481481481481</v>
      </c>
      <c r="AM101" s="29">
        <v>0.49068287037037039</v>
      </c>
      <c r="AN101" s="30">
        <v>0.75153935185185183</v>
      </c>
    </row>
    <row r="102" spans="1:40" ht="15.75" customHeight="1" x14ac:dyDescent="0.2">
      <c r="A102" s="27">
        <v>44822</v>
      </c>
      <c r="B102" s="13">
        <v>2022</v>
      </c>
      <c r="C102" s="13">
        <v>261</v>
      </c>
      <c r="D102" s="13">
        <f t="shared" si="3"/>
        <v>1</v>
      </c>
      <c r="E102" s="13"/>
      <c r="F102" s="13">
        <f t="shared" si="1"/>
        <v>3</v>
      </c>
      <c r="G102" s="14">
        <v>1</v>
      </c>
      <c r="H102" s="14">
        <v>0</v>
      </c>
      <c r="I102" s="14">
        <v>1</v>
      </c>
      <c r="J102" s="14">
        <v>0</v>
      </c>
      <c r="K102" s="14">
        <v>0</v>
      </c>
      <c r="L102" s="14">
        <v>1</v>
      </c>
      <c r="M102" s="15">
        <v>311.49799999999999</v>
      </c>
      <c r="N102" s="16" t="str">
        <f t="shared" si="4"/>
        <v>NW</v>
      </c>
      <c r="O102" s="17">
        <v>7.4</v>
      </c>
      <c r="P102" s="16" t="s">
        <v>137</v>
      </c>
      <c r="Q102" s="18">
        <v>0</v>
      </c>
      <c r="R102" s="19">
        <v>14.02</v>
      </c>
      <c r="S102" s="19">
        <v>9</v>
      </c>
      <c r="T102" s="19">
        <v>19.5</v>
      </c>
      <c r="U102" s="20">
        <v>304.58</v>
      </c>
      <c r="V102" s="16" t="s">
        <v>6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0.28999999999999998</v>
      </c>
      <c r="AD102" s="21">
        <v>0.71</v>
      </c>
      <c r="AE102" s="21">
        <v>7.77</v>
      </c>
      <c r="AF102" s="21">
        <v>7.4</v>
      </c>
      <c r="AG102" s="21">
        <v>11.3</v>
      </c>
      <c r="AH102" s="18" t="s">
        <v>29</v>
      </c>
      <c r="AI102" s="13" t="str">
        <f>VLOOKUP(AH102,'Hess and Brezowsky'!$B$2:$G$31,2,FALSE)</f>
        <v>Mixed</v>
      </c>
      <c r="AJ102" s="18" t="str">
        <f>VLOOKUP(AH102,'Hess and Brezowsky'!$B$2:$G$31,3,FALSE)</f>
        <v>C</v>
      </c>
      <c r="AK102" s="13" t="str">
        <f>VLOOKUP(AH102,'Hess and Brezowsky'!$B$2:$G$31,4,FALSE)</f>
        <v>Cyclonic North-Westerly</v>
      </c>
      <c r="AL102" s="29">
        <v>0.23078703703703704</v>
      </c>
      <c r="AM102" s="29">
        <v>0.49041666666666667</v>
      </c>
      <c r="AN102" s="30">
        <v>0.75004629629629627</v>
      </c>
    </row>
    <row r="103" spans="1:40" ht="15.75" customHeight="1" x14ac:dyDescent="0.2">
      <c r="A103" s="27">
        <v>44823</v>
      </c>
      <c r="B103" s="13">
        <v>2022</v>
      </c>
      <c r="C103" s="13">
        <v>262</v>
      </c>
      <c r="D103" s="13">
        <f t="shared" si="3"/>
        <v>2</v>
      </c>
      <c r="E103" s="13"/>
      <c r="F103" s="13">
        <f t="shared" si="1"/>
        <v>3</v>
      </c>
      <c r="G103" s="14">
        <v>1</v>
      </c>
      <c r="H103" s="14">
        <v>0</v>
      </c>
      <c r="I103" s="14">
        <v>1</v>
      </c>
      <c r="J103" s="14">
        <v>0</v>
      </c>
      <c r="K103" s="14">
        <v>0</v>
      </c>
      <c r="L103" s="14">
        <v>1</v>
      </c>
      <c r="M103" s="15">
        <v>3.2690000000000001</v>
      </c>
      <c r="N103" s="16" t="str">
        <f t="shared" si="4"/>
        <v>N</v>
      </c>
      <c r="O103" s="17">
        <v>5.9</v>
      </c>
      <c r="P103" s="16" t="s">
        <v>137</v>
      </c>
      <c r="Q103" s="18">
        <v>0</v>
      </c>
      <c r="R103" s="19">
        <v>14.32</v>
      </c>
      <c r="S103" s="19">
        <v>10.6</v>
      </c>
      <c r="T103" s="19">
        <v>18.899999999999999</v>
      </c>
      <c r="U103" s="20">
        <v>2.4500000000000002</v>
      </c>
      <c r="V103" s="16" t="s">
        <v>7</v>
      </c>
      <c r="W103" s="21">
        <v>0.71</v>
      </c>
      <c r="X103" s="21">
        <v>0.17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0.12</v>
      </c>
      <c r="AE103" s="21">
        <v>5.73</v>
      </c>
      <c r="AF103" s="21">
        <v>5.38</v>
      </c>
      <c r="AG103" s="21">
        <v>9.4</v>
      </c>
      <c r="AH103" s="18" t="s">
        <v>29</v>
      </c>
      <c r="AI103" s="13" t="str">
        <f>VLOOKUP(AH103,'Hess and Brezowsky'!$B$2:$G$31,2,FALSE)</f>
        <v>Mixed</v>
      </c>
      <c r="AJ103" s="18" t="str">
        <f>VLOOKUP(AH103,'Hess and Brezowsky'!$B$2:$G$31,3,FALSE)</f>
        <v>C</v>
      </c>
      <c r="AK103" s="13" t="str">
        <f>VLOOKUP(AH103,'Hess and Brezowsky'!$B$2:$G$31,4,FALSE)</f>
        <v>Cyclonic North-Westerly</v>
      </c>
      <c r="AL103" s="29">
        <v>0.23177083333333334</v>
      </c>
      <c r="AM103" s="29">
        <v>0.49016203703703703</v>
      </c>
      <c r="AN103" s="30">
        <v>0.7485532407407407</v>
      </c>
    </row>
    <row r="104" spans="1:40" ht="15.75" customHeight="1" x14ac:dyDescent="0.2">
      <c r="A104" s="27">
        <v>44824</v>
      </c>
      <c r="B104" s="13">
        <v>2022</v>
      </c>
      <c r="C104" s="13">
        <v>263</v>
      </c>
      <c r="D104" s="13">
        <f t="shared" si="3"/>
        <v>3</v>
      </c>
      <c r="E104" s="13"/>
      <c r="F104" s="13">
        <f t="shared" si="1"/>
        <v>3</v>
      </c>
      <c r="G104" s="14">
        <v>1</v>
      </c>
      <c r="H104" s="14">
        <v>0</v>
      </c>
      <c r="I104" s="14">
        <v>1</v>
      </c>
      <c r="J104" s="14">
        <v>0</v>
      </c>
      <c r="K104" s="14">
        <v>0</v>
      </c>
      <c r="L104" s="14">
        <v>1</v>
      </c>
      <c r="M104" s="15">
        <v>30.178999999999998</v>
      </c>
      <c r="N104" s="16" t="str">
        <f t="shared" si="4"/>
        <v>NE</v>
      </c>
      <c r="O104" s="17">
        <v>4.0999999999999996</v>
      </c>
      <c r="P104" s="16" t="s">
        <v>137</v>
      </c>
      <c r="Q104" s="18">
        <v>0</v>
      </c>
      <c r="R104" s="19">
        <v>13.45</v>
      </c>
      <c r="S104" s="19">
        <v>9.5</v>
      </c>
      <c r="T104" s="19">
        <v>17.399999999999999</v>
      </c>
      <c r="U104" s="20">
        <v>30.91</v>
      </c>
      <c r="V104" s="16" t="s">
        <v>10</v>
      </c>
      <c r="W104" s="21">
        <v>0.33</v>
      </c>
      <c r="X104" s="21">
        <v>0.5</v>
      </c>
      <c r="Y104" s="21">
        <v>0.08</v>
      </c>
      <c r="Z104" s="21">
        <v>0</v>
      </c>
      <c r="AA104" s="21">
        <v>0</v>
      </c>
      <c r="AB104" s="21">
        <v>0</v>
      </c>
      <c r="AC104" s="21">
        <v>0</v>
      </c>
      <c r="AD104" s="21">
        <v>0.08</v>
      </c>
      <c r="AE104" s="21">
        <v>3.76</v>
      </c>
      <c r="AF104" s="21">
        <v>3.32</v>
      </c>
      <c r="AG104" s="21">
        <v>9.5</v>
      </c>
      <c r="AH104" s="18" t="s">
        <v>12</v>
      </c>
      <c r="AI104" s="13" t="str">
        <f>VLOOKUP(AH104,'Hess and Brezowsky'!$B$2:$G$31,2,FALSE)</f>
        <v>Undefined</v>
      </c>
      <c r="AJ104" s="18" t="str">
        <f>VLOOKUP(AH104,'Hess and Brezowsky'!$B$2:$G$31,3,FALSE)</f>
        <v>M</v>
      </c>
      <c r="AK104" s="13" t="str">
        <f>VLOOKUP(AH104,'Hess and Brezowsky'!$B$2:$G$31,4,FALSE)</f>
        <v>Transistion / Undefined</v>
      </c>
      <c r="AL104" s="29">
        <v>0.23275462962962962</v>
      </c>
      <c r="AM104" s="29">
        <v>0.4899074074074074</v>
      </c>
      <c r="AN104" s="30">
        <v>0.74706018518518513</v>
      </c>
    </row>
    <row r="105" spans="1:40" ht="15.75" customHeight="1" x14ac:dyDescent="0.2">
      <c r="A105" s="27">
        <v>44825</v>
      </c>
      <c r="B105" s="13">
        <v>2022</v>
      </c>
      <c r="C105" s="13">
        <v>264</v>
      </c>
      <c r="D105" s="13">
        <f t="shared" si="3"/>
        <v>4</v>
      </c>
      <c r="E105" s="13"/>
      <c r="F105" s="13">
        <f t="shared" si="1"/>
        <v>3</v>
      </c>
      <c r="G105" s="14">
        <v>1</v>
      </c>
      <c r="H105" s="14">
        <v>0</v>
      </c>
      <c r="I105" s="14">
        <v>1</v>
      </c>
      <c r="J105" s="14">
        <v>0</v>
      </c>
      <c r="K105" s="14">
        <v>0</v>
      </c>
      <c r="L105" s="14">
        <v>1</v>
      </c>
      <c r="M105" s="15">
        <v>63.156999999999996</v>
      </c>
      <c r="N105" s="16" t="str">
        <f t="shared" si="4"/>
        <v>NE</v>
      </c>
      <c r="O105" s="17">
        <v>5.8</v>
      </c>
      <c r="P105" s="16" t="s">
        <v>138</v>
      </c>
      <c r="Q105" s="18">
        <v>0</v>
      </c>
      <c r="R105" s="19">
        <v>14.48</v>
      </c>
      <c r="S105" s="19">
        <v>10</v>
      </c>
      <c r="T105" s="19">
        <v>19.8</v>
      </c>
      <c r="U105" s="20">
        <v>64.040000000000006</v>
      </c>
      <c r="V105" s="16" t="s">
        <v>10</v>
      </c>
      <c r="W105" s="21">
        <v>0</v>
      </c>
      <c r="X105" s="21">
        <v>0.71</v>
      </c>
      <c r="Y105" s="21">
        <v>0.28999999999999998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5.75</v>
      </c>
      <c r="AF105" s="21">
        <v>5.61</v>
      </c>
      <c r="AG105" s="21">
        <v>8.8000000000000007</v>
      </c>
      <c r="AH105" s="18" t="s">
        <v>8</v>
      </c>
      <c r="AI105" s="13" t="str">
        <f>VLOOKUP(AH105,'Hess and Brezowsky'!$B$2:$G$31,2,FALSE)</f>
        <v>Mixed</v>
      </c>
      <c r="AJ105" s="18" t="str">
        <f>VLOOKUP(AH105,'Hess and Brezowsky'!$B$2:$G$31,3,FALSE)</f>
        <v>A</v>
      </c>
      <c r="AK105" s="13" t="str">
        <f>VLOOKUP(AH105,'Hess and Brezowsky'!$B$2:$G$31,4,FALSE)</f>
        <v>High over Central Europe</v>
      </c>
      <c r="AL105" s="29">
        <v>0.23372685185185185</v>
      </c>
      <c r="AM105" s="29">
        <v>0.48965277777777777</v>
      </c>
      <c r="AN105" s="30">
        <v>0.74557870370370372</v>
      </c>
    </row>
    <row r="106" spans="1:40" ht="15.75" customHeight="1" x14ac:dyDescent="0.2">
      <c r="A106" s="27">
        <v>44826</v>
      </c>
      <c r="B106" s="13">
        <v>2022</v>
      </c>
      <c r="C106" s="13">
        <v>265</v>
      </c>
      <c r="D106" s="13">
        <f t="shared" si="3"/>
        <v>5</v>
      </c>
      <c r="E106" s="13"/>
      <c r="F106" s="13">
        <f t="shared" si="1"/>
        <v>3</v>
      </c>
      <c r="G106" s="14">
        <v>1</v>
      </c>
      <c r="H106" s="14">
        <v>0</v>
      </c>
      <c r="I106" s="14">
        <v>1</v>
      </c>
      <c r="J106" s="14">
        <v>0</v>
      </c>
      <c r="K106" s="14">
        <v>0</v>
      </c>
      <c r="L106" s="14">
        <v>1</v>
      </c>
      <c r="M106" s="15">
        <v>112.76900000000001</v>
      </c>
      <c r="N106" s="16" t="str">
        <f t="shared" si="4"/>
        <v>SE</v>
      </c>
      <c r="O106" s="17">
        <v>3.1</v>
      </c>
      <c r="P106" s="16" t="s">
        <v>139</v>
      </c>
      <c r="Q106" s="18">
        <v>0</v>
      </c>
      <c r="R106" s="19">
        <v>15.02</v>
      </c>
      <c r="S106" s="19">
        <v>9.6999999999999993</v>
      </c>
      <c r="T106" s="19">
        <v>21</v>
      </c>
      <c r="U106" s="20">
        <v>119.2</v>
      </c>
      <c r="V106" s="16" t="s">
        <v>11</v>
      </c>
      <c r="W106" s="21">
        <v>0.08</v>
      </c>
      <c r="X106" s="21">
        <v>0.08</v>
      </c>
      <c r="Y106" s="21">
        <v>0.33</v>
      </c>
      <c r="Z106" s="21">
        <v>0.38</v>
      </c>
      <c r="AA106" s="21">
        <v>0.12</v>
      </c>
      <c r="AB106" s="21">
        <v>0</v>
      </c>
      <c r="AC106" s="21">
        <v>0</v>
      </c>
      <c r="AD106" s="21">
        <v>0</v>
      </c>
      <c r="AE106" s="21">
        <v>2.96</v>
      </c>
      <c r="AF106" s="21">
        <v>2.4700000000000002</v>
      </c>
      <c r="AG106" s="21">
        <v>6.6</v>
      </c>
      <c r="AH106" s="18" t="s">
        <v>8</v>
      </c>
      <c r="AI106" s="13" t="str">
        <f>VLOOKUP(AH106,'Hess and Brezowsky'!$B$2:$G$31,2,FALSE)</f>
        <v>Mixed</v>
      </c>
      <c r="AJ106" s="18" t="str">
        <f>VLOOKUP(AH106,'Hess and Brezowsky'!$B$2:$G$31,3,FALSE)</f>
        <v>A</v>
      </c>
      <c r="AK106" s="13" t="str">
        <f>VLOOKUP(AH106,'Hess and Brezowsky'!$B$2:$G$31,4,FALSE)</f>
        <v>High over Central Europe</v>
      </c>
      <c r="AL106" s="29">
        <v>0.23471064814814815</v>
      </c>
      <c r="AM106" s="29">
        <v>0.48939814814814814</v>
      </c>
      <c r="AN106" s="30">
        <v>0.74408564814814815</v>
      </c>
    </row>
    <row r="107" spans="1:40" ht="15.75" customHeight="1" x14ac:dyDescent="0.2">
      <c r="A107" s="27">
        <v>44827</v>
      </c>
      <c r="B107" s="13">
        <v>2022</v>
      </c>
      <c r="C107" s="13">
        <v>266</v>
      </c>
      <c r="D107" s="13">
        <f t="shared" si="3"/>
        <v>6</v>
      </c>
      <c r="E107" s="13"/>
      <c r="F107" s="13">
        <f t="shared" si="1"/>
        <v>3</v>
      </c>
      <c r="G107" s="14">
        <v>1</v>
      </c>
      <c r="H107" s="14">
        <v>0</v>
      </c>
      <c r="I107" s="14">
        <v>1</v>
      </c>
      <c r="J107" s="14">
        <v>0</v>
      </c>
      <c r="K107" s="14">
        <v>0</v>
      </c>
      <c r="L107" s="14">
        <v>1</v>
      </c>
      <c r="M107" s="15">
        <v>210.994</v>
      </c>
      <c r="N107" s="16" t="str">
        <f t="shared" si="4"/>
        <v>SW</v>
      </c>
      <c r="O107" s="17">
        <v>3.6</v>
      </c>
      <c r="P107" s="16" t="s">
        <v>137</v>
      </c>
      <c r="Q107" s="18">
        <v>0</v>
      </c>
      <c r="R107" s="19">
        <v>15.7</v>
      </c>
      <c r="S107" s="19">
        <v>11</v>
      </c>
      <c r="T107" s="19">
        <v>21</v>
      </c>
      <c r="U107" s="20">
        <v>210.26</v>
      </c>
      <c r="V107" s="16" t="s">
        <v>5</v>
      </c>
      <c r="W107" s="21">
        <v>0</v>
      </c>
      <c r="X107" s="21">
        <v>0.04</v>
      </c>
      <c r="Y107" s="21">
        <v>0</v>
      </c>
      <c r="Z107" s="21">
        <v>0.28999999999999998</v>
      </c>
      <c r="AA107" s="21">
        <v>0.21</v>
      </c>
      <c r="AB107" s="21">
        <v>0.28999999999999998</v>
      </c>
      <c r="AC107" s="21">
        <v>0.12</v>
      </c>
      <c r="AD107" s="21">
        <v>0.04</v>
      </c>
      <c r="AE107" s="21">
        <v>2.79</v>
      </c>
      <c r="AF107" s="21">
        <v>1.55</v>
      </c>
      <c r="AG107" s="21">
        <v>8.9</v>
      </c>
      <c r="AH107" s="18" t="s">
        <v>8</v>
      </c>
      <c r="AI107" s="13" t="str">
        <f>VLOOKUP(AH107,'Hess and Brezowsky'!$B$2:$G$31,2,FALSE)</f>
        <v>Mixed</v>
      </c>
      <c r="AJ107" s="18" t="str">
        <f>VLOOKUP(AH107,'Hess and Brezowsky'!$B$2:$G$31,3,FALSE)</f>
        <v>A</v>
      </c>
      <c r="AK107" s="13" t="str">
        <f>VLOOKUP(AH107,'Hess and Brezowsky'!$B$2:$G$31,4,FALSE)</f>
        <v>High over Central Europe</v>
      </c>
      <c r="AL107" s="29">
        <v>0.23569444444444446</v>
      </c>
      <c r="AM107" s="29">
        <v>0.48914351851851851</v>
      </c>
      <c r="AN107" s="30">
        <v>0.74259259259259258</v>
      </c>
    </row>
    <row r="108" spans="1:40" ht="15.75" customHeight="1" x14ac:dyDescent="0.2">
      <c r="A108" s="27">
        <v>44828</v>
      </c>
      <c r="B108" s="13">
        <v>2022</v>
      </c>
      <c r="C108" s="13">
        <v>267</v>
      </c>
      <c r="D108" s="13">
        <f t="shared" si="3"/>
        <v>7</v>
      </c>
      <c r="E108" s="13"/>
      <c r="F108" s="13">
        <f t="shared" si="1"/>
        <v>3</v>
      </c>
      <c r="G108" s="14">
        <v>1</v>
      </c>
      <c r="H108" s="14">
        <v>0</v>
      </c>
      <c r="I108" s="14">
        <v>1</v>
      </c>
      <c r="J108" s="14">
        <v>0</v>
      </c>
      <c r="K108" s="14">
        <v>0</v>
      </c>
      <c r="L108" s="14">
        <v>1</v>
      </c>
      <c r="M108" s="15">
        <v>345.95100000000002</v>
      </c>
      <c r="N108" s="16" t="str">
        <f t="shared" si="4"/>
        <v>N</v>
      </c>
      <c r="O108" s="17">
        <v>4.3</v>
      </c>
      <c r="P108" s="16" t="s">
        <v>137</v>
      </c>
      <c r="Q108" s="18">
        <v>3.4</v>
      </c>
      <c r="R108" s="19">
        <v>14.86</v>
      </c>
      <c r="S108" s="19">
        <v>13.2</v>
      </c>
      <c r="T108" s="19">
        <v>17.5</v>
      </c>
      <c r="U108" s="20">
        <v>346.09</v>
      </c>
      <c r="V108" s="16" t="s">
        <v>7</v>
      </c>
      <c r="W108" s="21">
        <v>0.25</v>
      </c>
      <c r="X108" s="21">
        <v>0.08</v>
      </c>
      <c r="Y108" s="21">
        <v>0</v>
      </c>
      <c r="Z108" s="21">
        <v>0.08</v>
      </c>
      <c r="AA108" s="21">
        <v>0.08</v>
      </c>
      <c r="AB108" s="21">
        <v>0.04</v>
      </c>
      <c r="AC108" s="21">
        <v>0.28999999999999998</v>
      </c>
      <c r="AD108" s="21">
        <v>0.17</v>
      </c>
      <c r="AE108" s="21">
        <v>3.97</v>
      </c>
      <c r="AF108" s="21">
        <v>2.63</v>
      </c>
      <c r="AG108" s="21">
        <v>9.6</v>
      </c>
      <c r="AH108" s="18" t="s">
        <v>12</v>
      </c>
      <c r="AI108" s="13" t="str">
        <f>VLOOKUP(AH108,'Hess and Brezowsky'!$B$2:$G$31,2,FALSE)</f>
        <v>Undefined</v>
      </c>
      <c r="AJ108" s="18" t="str">
        <f>VLOOKUP(AH108,'Hess and Brezowsky'!$B$2:$G$31,3,FALSE)</f>
        <v>M</v>
      </c>
      <c r="AK108" s="13" t="str">
        <f>VLOOKUP(AH108,'Hess and Brezowsky'!$B$2:$G$31,4,FALSE)</f>
        <v>Transistion / Undefined</v>
      </c>
      <c r="AL108" s="29">
        <v>0.23668981481481483</v>
      </c>
      <c r="AM108" s="29">
        <v>0.48888888888888887</v>
      </c>
      <c r="AN108" s="30">
        <v>0.74109953703703701</v>
      </c>
    </row>
    <row r="109" spans="1:40" ht="15.75" customHeight="1" x14ac:dyDescent="0.2">
      <c r="A109" s="27">
        <v>44829</v>
      </c>
      <c r="B109" s="13">
        <v>2022</v>
      </c>
      <c r="C109" s="13">
        <v>268</v>
      </c>
      <c r="D109" s="13">
        <f t="shared" si="3"/>
        <v>1</v>
      </c>
      <c r="E109" s="13"/>
      <c r="F109" s="13">
        <f t="shared" si="1"/>
        <v>3</v>
      </c>
      <c r="G109" s="14">
        <v>1</v>
      </c>
      <c r="H109" s="14">
        <v>0</v>
      </c>
      <c r="I109" s="14">
        <v>1</v>
      </c>
      <c r="J109" s="14">
        <v>0</v>
      </c>
      <c r="K109" s="14">
        <v>0</v>
      </c>
      <c r="L109" s="14">
        <v>1</v>
      </c>
      <c r="M109" s="15">
        <v>7.23</v>
      </c>
      <c r="N109" s="16" t="str">
        <f t="shared" si="4"/>
        <v>N</v>
      </c>
      <c r="O109" s="17">
        <v>6.6</v>
      </c>
      <c r="P109" s="16" t="s">
        <v>137</v>
      </c>
      <c r="Q109" s="18">
        <v>0.2</v>
      </c>
      <c r="R109" s="19">
        <v>14.85</v>
      </c>
      <c r="S109" s="19">
        <v>11.9</v>
      </c>
      <c r="T109" s="19">
        <v>20</v>
      </c>
      <c r="U109" s="20">
        <v>358.5</v>
      </c>
      <c r="V109" s="16" t="s">
        <v>7</v>
      </c>
      <c r="W109" s="21">
        <v>0.57999999999999996</v>
      </c>
      <c r="X109" s="21">
        <v>0.17</v>
      </c>
      <c r="Y109" s="21">
        <v>0</v>
      </c>
      <c r="Z109" s="21">
        <v>0</v>
      </c>
      <c r="AA109" s="21">
        <v>0</v>
      </c>
      <c r="AB109" s="21">
        <v>0</v>
      </c>
      <c r="AC109" s="21">
        <v>0.04</v>
      </c>
      <c r="AD109" s="21">
        <v>0.21</v>
      </c>
      <c r="AE109" s="21">
        <v>6.61</v>
      </c>
      <c r="AF109" s="21">
        <v>5.81</v>
      </c>
      <c r="AG109" s="21">
        <v>9.4</v>
      </c>
      <c r="AH109" s="18" t="s">
        <v>30</v>
      </c>
      <c r="AI109" s="13" t="str">
        <f>VLOOKUP(AH109,'Hess and Brezowsky'!$B$2:$G$31,2,FALSE)</f>
        <v>Meridional</v>
      </c>
      <c r="AJ109" s="18" t="str">
        <f>VLOOKUP(AH109,'Hess and Brezowsky'!$B$2:$G$31,3,FALSE)</f>
        <v>M</v>
      </c>
      <c r="AK109" s="13" t="str">
        <f>VLOOKUP(AH109,'Hess and Brezowsky'!$B$2:$G$31,4,FALSE)</f>
        <v>Trough over Central Europe</v>
      </c>
      <c r="AL109" s="29">
        <v>0.2376736111111111</v>
      </c>
      <c r="AM109" s="29">
        <v>0.48864583333333333</v>
      </c>
      <c r="AN109" s="30">
        <v>0.73960648148148145</v>
      </c>
    </row>
    <row r="110" spans="1:40" ht="15.75" customHeight="1" x14ac:dyDescent="0.2">
      <c r="A110" s="27">
        <v>44830</v>
      </c>
      <c r="B110" s="13">
        <v>2022</v>
      </c>
      <c r="C110" s="13">
        <v>269</v>
      </c>
      <c r="D110" s="13">
        <f t="shared" si="3"/>
        <v>2</v>
      </c>
      <c r="E110" s="13"/>
      <c r="F110" s="13">
        <f t="shared" si="1"/>
        <v>3</v>
      </c>
      <c r="G110" s="14">
        <v>1</v>
      </c>
      <c r="H110" s="14">
        <v>0</v>
      </c>
      <c r="I110" s="14">
        <v>1</v>
      </c>
      <c r="J110" s="14">
        <v>0</v>
      </c>
      <c r="K110" s="14">
        <v>0</v>
      </c>
      <c r="L110" s="14">
        <v>1</v>
      </c>
      <c r="M110" s="15">
        <v>256.91500000000002</v>
      </c>
      <c r="N110" s="16" t="str">
        <f t="shared" si="4"/>
        <v>W</v>
      </c>
      <c r="O110" s="17">
        <v>10.4</v>
      </c>
      <c r="P110" s="16" t="s">
        <v>137</v>
      </c>
      <c r="Q110" s="18">
        <v>7.7</v>
      </c>
      <c r="R110" s="19">
        <v>12.71</v>
      </c>
      <c r="S110" s="19">
        <v>11.1</v>
      </c>
      <c r="T110" s="19">
        <v>14.9</v>
      </c>
      <c r="U110" s="20">
        <v>259.8</v>
      </c>
      <c r="V110" s="16" t="s">
        <v>16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0.42</v>
      </c>
      <c r="AC110" s="21">
        <v>0.46</v>
      </c>
      <c r="AD110" s="21">
        <v>0.12</v>
      </c>
      <c r="AE110" s="21">
        <v>11.43</v>
      </c>
      <c r="AF110" s="21">
        <v>10.199999999999999</v>
      </c>
      <c r="AG110" s="21">
        <v>15.7</v>
      </c>
      <c r="AH110" s="18" t="s">
        <v>30</v>
      </c>
      <c r="AI110" s="13" t="str">
        <f>VLOOKUP(AH110,'Hess and Brezowsky'!$B$2:$G$31,2,FALSE)</f>
        <v>Meridional</v>
      </c>
      <c r="AJ110" s="18" t="str">
        <f>VLOOKUP(AH110,'Hess and Brezowsky'!$B$2:$G$31,3,FALSE)</f>
        <v>M</v>
      </c>
      <c r="AK110" s="13" t="str">
        <f>VLOOKUP(AH110,'Hess and Brezowsky'!$B$2:$G$31,4,FALSE)</f>
        <v>Trough over Central Europe</v>
      </c>
      <c r="AL110" s="29">
        <v>0.2386574074074074</v>
      </c>
      <c r="AM110" s="29">
        <v>0.4883912037037037</v>
      </c>
      <c r="AN110" s="30">
        <v>0.73812500000000003</v>
      </c>
    </row>
    <row r="111" spans="1:40" ht="15.75" customHeight="1" x14ac:dyDescent="0.2">
      <c r="A111" s="27">
        <v>44831</v>
      </c>
      <c r="B111" s="13">
        <v>2022</v>
      </c>
      <c r="C111" s="13">
        <v>270</v>
      </c>
      <c r="D111" s="13">
        <f t="shared" si="3"/>
        <v>3</v>
      </c>
      <c r="E111" s="13"/>
      <c r="F111" s="13">
        <f t="shared" si="1"/>
        <v>3</v>
      </c>
      <c r="G111" s="14">
        <v>1</v>
      </c>
      <c r="H111" s="14">
        <v>0</v>
      </c>
      <c r="I111" s="14">
        <v>1</v>
      </c>
      <c r="J111" s="14">
        <v>0</v>
      </c>
      <c r="K111" s="14">
        <v>0</v>
      </c>
      <c r="L111" s="14">
        <v>1</v>
      </c>
      <c r="M111" s="15">
        <v>267.27699999999999</v>
      </c>
      <c r="N111" s="16" t="str">
        <f t="shared" si="4"/>
        <v>W</v>
      </c>
      <c r="O111" s="17">
        <v>9.6</v>
      </c>
      <c r="P111" s="16" t="s">
        <v>137</v>
      </c>
      <c r="Q111" s="18">
        <v>5.2</v>
      </c>
      <c r="R111" s="19">
        <v>12.45</v>
      </c>
      <c r="S111" s="19">
        <v>10.7</v>
      </c>
      <c r="T111" s="19">
        <v>14.1</v>
      </c>
      <c r="U111" s="20">
        <v>267.14</v>
      </c>
      <c r="V111" s="16" t="s">
        <v>16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0.04</v>
      </c>
      <c r="AC111" s="21">
        <v>0.96</v>
      </c>
      <c r="AD111" s="21">
        <v>0</v>
      </c>
      <c r="AE111" s="21">
        <v>11.2</v>
      </c>
      <c r="AF111" s="21">
        <v>11.05</v>
      </c>
      <c r="AG111" s="21">
        <v>16.3</v>
      </c>
      <c r="AH111" s="18" t="s">
        <v>30</v>
      </c>
      <c r="AI111" s="13" t="str">
        <f>VLOOKUP(AH111,'Hess and Brezowsky'!$B$2:$G$31,2,FALSE)</f>
        <v>Meridional</v>
      </c>
      <c r="AJ111" s="18" t="str">
        <f>VLOOKUP(AH111,'Hess and Brezowsky'!$B$2:$G$31,3,FALSE)</f>
        <v>M</v>
      </c>
      <c r="AK111" s="13" t="str">
        <f>VLOOKUP(AH111,'Hess and Brezowsky'!$B$2:$G$31,4,FALSE)</f>
        <v>Trough over Central Europe</v>
      </c>
      <c r="AL111" s="29">
        <v>0.23965277777777777</v>
      </c>
      <c r="AM111" s="29">
        <v>0.48814814814814816</v>
      </c>
      <c r="AN111" s="30">
        <v>0.73663194444444446</v>
      </c>
    </row>
    <row r="112" spans="1:40" ht="15.75" customHeight="1" x14ac:dyDescent="0.2">
      <c r="A112" s="27">
        <v>44832</v>
      </c>
      <c r="B112" s="13">
        <v>2022</v>
      </c>
      <c r="C112" s="13">
        <v>271</v>
      </c>
      <c r="D112" s="13">
        <f t="shared" si="3"/>
        <v>4</v>
      </c>
      <c r="E112" s="13"/>
      <c r="F112" s="13">
        <f t="shared" si="1"/>
        <v>3</v>
      </c>
      <c r="G112" s="14">
        <v>1</v>
      </c>
      <c r="H112" s="14">
        <v>0</v>
      </c>
      <c r="I112" s="14">
        <v>1</v>
      </c>
      <c r="J112" s="14">
        <v>0</v>
      </c>
      <c r="K112" s="14">
        <v>0</v>
      </c>
      <c r="L112" s="14">
        <v>1</v>
      </c>
      <c r="M112" s="15">
        <v>295.65499999999997</v>
      </c>
      <c r="N112" s="16" t="str">
        <f t="shared" si="4"/>
        <v>NW</v>
      </c>
      <c r="O112" s="17">
        <v>5.6</v>
      </c>
      <c r="P112" s="16" t="s">
        <v>137</v>
      </c>
      <c r="Q112" s="18">
        <v>0.2</v>
      </c>
      <c r="R112" s="19">
        <v>12.52</v>
      </c>
      <c r="S112" s="19">
        <v>11.2</v>
      </c>
      <c r="T112" s="19">
        <v>15.5</v>
      </c>
      <c r="U112" s="20">
        <v>290.31</v>
      </c>
      <c r="V112" s="16" t="s">
        <v>16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0.67</v>
      </c>
      <c r="AD112" s="21">
        <v>0.33</v>
      </c>
      <c r="AE112" s="21">
        <v>6.18</v>
      </c>
      <c r="AF112" s="21">
        <v>6.03</v>
      </c>
      <c r="AG112" s="21">
        <v>11.2</v>
      </c>
      <c r="AH112" s="18" t="s">
        <v>30</v>
      </c>
      <c r="AI112" s="13" t="str">
        <f>VLOOKUP(AH112,'Hess and Brezowsky'!$B$2:$G$31,2,FALSE)</f>
        <v>Meridional</v>
      </c>
      <c r="AJ112" s="18" t="str">
        <f>VLOOKUP(AH112,'Hess and Brezowsky'!$B$2:$G$31,3,FALSE)</f>
        <v>M</v>
      </c>
      <c r="AK112" s="13" t="str">
        <f>VLOOKUP(AH112,'Hess and Brezowsky'!$B$2:$G$31,4,FALSE)</f>
        <v>Trough over Central Europe</v>
      </c>
      <c r="AL112" s="29">
        <v>0.24064814814814814</v>
      </c>
      <c r="AM112" s="29">
        <v>0.48790509259259257</v>
      </c>
      <c r="AN112" s="30">
        <v>0.73515046296296294</v>
      </c>
    </row>
    <row r="113" spans="1:40" ht="15.75" customHeight="1" x14ac:dyDescent="0.2">
      <c r="A113" s="27">
        <v>44833</v>
      </c>
      <c r="B113" s="13">
        <v>2022</v>
      </c>
      <c r="C113" s="13">
        <v>272</v>
      </c>
      <c r="D113" s="13">
        <f t="shared" si="3"/>
        <v>5</v>
      </c>
      <c r="E113" s="13"/>
      <c r="F113" s="13">
        <f t="shared" si="1"/>
        <v>3</v>
      </c>
      <c r="G113" s="14">
        <v>1</v>
      </c>
      <c r="H113" s="14">
        <v>0</v>
      </c>
      <c r="I113" s="14">
        <v>1</v>
      </c>
      <c r="J113" s="14">
        <v>0</v>
      </c>
      <c r="K113" s="14">
        <v>0</v>
      </c>
      <c r="L113" s="14">
        <v>1</v>
      </c>
      <c r="M113" s="15">
        <v>350.755</v>
      </c>
      <c r="N113" s="16" t="str">
        <f t="shared" si="4"/>
        <v>N</v>
      </c>
      <c r="O113" s="17">
        <v>2.7</v>
      </c>
      <c r="P113" s="16" t="s">
        <v>137</v>
      </c>
      <c r="Q113" s="18">
        <v>2.2000000000000002</v>
      </c>
      <c r="R113" s="19">
        <v>11.36</v>
      </c>
      <c r="S113" s="19">
        <v>9.1999999999999993</v>
      </c>
      <c r="T113" s="19">
        <v>14.8</v>
      </c>
      <c r="U113" s="20">
        <v>340.99</v>
      </c>
      <c r="V113" s="16" t="s">
        <v>7</v>
      </c>
      <c r="W113" s="21">
        <v>0.04</v>
      </c>
      <c r="X113" s="21">
        <v>0.17</v>
      </c>
      <c r="Y113" s="21">
        <v>0.21</v>
      </c>
      <c r="Z113" s="21">
        <v>0.04</v>
      </c>
      <c r="AA113" s="21">
        <v>0</v>
      </c>
      <c r="AB113" s="21">
        <v>0.04</v>
      </c>
      <c r="AC113" s="21">
        <v>0.42</v>
      </c>
      <c r="AD113" s="21">
        <v>0.08</v>
      </c>
      <c r="AE113" s="21">
        <v>2.4700000000000002</v>
      </c>
      <c r="AF113" s="21">
        <v>0.56000000000000005</v>
      </c>
      <c r="AG113" s="21">
        <v>6.4</v>
      </c>
      <c r="AH113" s="18" t="s">
        <v>30</v>
      </c>
      <c r="AI113" s="13" t="str">
        <f>VLOOKUP(AH113,'Hess and Brezowsky'!$B$2:$G$31,2,FALSE)</f>
        <v>Meridional</v>
      </c>
      <c r="AJ113" s="18" t="str">
        <f>VLOOKUP(AH113,'Hess and Brezowsky'!$B$2:$G$31,3,FALSE)</f>
        <v>M</v>
      </c>
      <c r="AK113" s="13" t="str">
        <f>VLOOKUP(AH113,'Hess and Brezowsky'!$B$2:$G$31,4,FALSE)</f>
        <v>Trough over Central Europe</v>
      </c>
      <c r="AL113" s="29">
        <v>0.24164351851851851</v>
      </c>
      <c r="AM113" s="29">
        <v>0.48766203703703703</v>
      </c>
      <c r="AN113" s="30">
        <v>0.73368055555555556</v>
      </c>
    </row>
    <row r="114" spans="1:40" ht="15.75" customHeight="1" x14ac:dyDescent="0.2">
      <c r="A114" s="27">
        <v>44834</v>
      </c>
      <c r="B114" s="13">
        <v>2022</v>
      </c>
      <c r="C114" s="13">
        <v>273</v>
      </c>
      <c r="D114" s="13">
        <f t="shared" si="3"/>
        <v>6</v>
      </c>
      <c r="E114" s="13"/>
      <c r="F114" s="13">
        <f t="shared" si="1"/>
        <v>3</v>
      </c>
      <c r="G114" s="14">
        <v>1</v>
      </c>
      <c r="H114" s="14">
        <v>0</v>
      </c>
      <c r="I114" s="14">
        <v>1</v>
      </c>
      <c r="J114" s="14">
        <v>0</v>
      </c>
      <c r="K114" s="14">
        <v>0</v>
      </c>
      <c r="L114" s="14">
        <v>1</v>
      </c>
      <c r="M114" s="15">
        <v>221.464</v>
      </c>
      <c r="N114" s="16" t="str">
        <f t="shared" si="4"/>
        <v>SW</v>
      </c>
      <c r="O114" s="17">
        <v>6.1</v>
      </c>
      <c r="P114" s="16" t="s">
        <v>137</v>
      </c>
      <c r="Q114" s="18">
        <v>2.8</v>
      </c>
      <c r="R114" s="19">
        <v>12.77</v>
      </c>
      <c r="S114" s="19">
        <v>7.7</v>
      </c>
      <c r="T114" s="19">
        <v>18.5</v>
      </c>
      <c r="U114" s="20">
        <v>214.85</v>
      </c>
      <c r="V114" s="16" t="s">
        <v>5</v>
      </c>
      <c r="W114" s="21">
        <v>0</v>
      </c>
      <c r="X114" s="21">
        <v>0.08</v>
      </c>
      <c r="Y114" s="21">
        <v>0.08</v>
      </c>
      <c r="Z114" s="21">
        <v>0</v>
      </c>
      <c r="AA114" s="21">
        <v>0.04</v>
      </c>
      <c r="AB114" s="21">
        <v>0.57999999999999996</v>
      </c>
      <c r="AC114" s="21">
        <v>0.04</v>
      </c>
      <c r="AD114" s="21">
        <v>0.17</v>
      </c>
      <c r="AE114" s="21">
        <v>5.08</v>
      </c>
      <c r="AF114" s="21">
        <v>3.62</v>
      </c>
      <c r="AG114" s="21">
        <v>15.9</v>
      </c>
      <c r="AH114" s="18" t="s">
        <v>28</v>
      </c>
      <c r="AI114" s="13" t="str">
        <f>VLOOKUP(AH114,'Hess and Brezowsky'!$B$2:$G$31,2,FALSE)</f>
        <v>Zonal</v>
      </c>
      <c r="AJ114" s="18" t="str">
        <f>VLOOKUP(AH114,'Hess and Brezowsky'!$B$2:$G$31,3,FALSE)</f>
        <v>C</v>
      </c>
      <c r="AK114" s="13" t="str">
        <f>VLOOKUP(AH114,'Hess and Brezowsky'!$B$2:$G$31,4,FALSE)</f>
        <v>Cyclonic Westerly</v>
      </c>
      <c r="AL114" s="29">
        <v>0.24265046296296297</v>
      </c>
      <c r="AM114" s="29">
        <v>0.48741898148148149</v>
      </c>
      <c r="AN114" s="30">
        <v>0.73219907407407403</v>
      </c>
    </row>
    <row r="115" spans="1:40" ht="15.75" customHeight="1" x14ac:dyDescent="0.2">
      <c r="A115" s="27">
        <v>44835</v>
      </c>
      <c r="B115" s="13">
        <v>2022</v>
      </c>
      <c r="C115" s="13">
        <v>274</v>
      </c>
      <c r="D115" s="13">
        <f t="shared" si="3"/>
        <v>7</v>
      </c>
      <c r="E115" s="13"/>
      <c r="F115" s="13">
        <f t="shared" si="1"/>
        <v>3</v>
      </c>
      <c r="G115" s="14">
        <v>1</v>
      </c>
      <c r="H115" s="14">
        <v>0</v>
      </c>
      <c r="I115" s="14">
        <v>1</v>
      </c>
      <c r="J115" s="14">
        <v>0</v>
      </c>
      <c r="K115" s="14">
        <v>0</v>
      </c>
      <c r="L115" s="14">
        <v>1</v>
      </c>
      <c r="M115" s="15">
        <v>251.441</v>
      </c>
      <c r="N115" s="16" t="str">
        <f t="shared" si="4"/>
        <v>W</v>
      </c>
      <c r="O115" s="17">
        <v>11.1</v>
      </c>
      <c r="P115" s="16" t="s">
        <v>137</v>
      </c>
      <c r="Q115" s="18">
        <v>1</v>
      </c>
      <c r="R115" s="19">
        <v>16.43</v>
      </c>
      <c r="S115" s="19">
        <v>12.3</v>
      </c>
      <c r="T115" s="19">
        <v>20.5</v>
      </c>
      <c r="U115" s="20">
        <v>250.85</v>
      </c>
      <c r="V115" s="16" t="s">
        <v>16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0.21</v>
      </c>
      <c r="AC115" s="21">
        <v>0.79</v>
      </c>
      <c r="AD115" s="21">
        <v>0</v>
      </c>
      <c r="AE115" s="21">
        <v>12.12</v>
      </c>
      <c r="AF115" s="21">
        <v>11.37</v>
      </c>
      <c r="AG115" s="21">
        <v>17.8</v>
      </c>
      <c r="AH115" s="18" t="s">
        <v>28</v>
      </c>
      <c r="AI115" s="13" t="str">
        <f>VLOOKUP(AH115,'Hess and Brezowsky'!$B$2:$G$31,2,FALSE)</f>
        <v>Zonal</v>
      </c>
      <c r="AJ115" s="18" t="str">
        <f>VLOOKUP(AH115,'Hess and Brezowsky'!$B$2:$G$31,3,FALSE)</f>
        <v>C</v>
      </c>
      <c r="AK115" s="13" t="str">
        <f>VLOOKUP(AH115,'Hess and Brezowsky'!$B$2:$G$31,4,FALSE)</f>
        <v>Cyclonic Westerly</v>
      </c>
      <c r="AL115" s="29">
        <v>0.24364583333333334</v>
      </c>
      <c r="AM115" s="29">
        <v>0.4871875</v>
      </c>
      <c r="AN115" s="30">
        <v>0.73072916666666665</v>
      </c>
    </row>
    <row r="116" spans="1:40" ht="15.75" customHeight="1" x14ac:dyDescent="0.2">
      <c r="A116" s="27">
        <v>44836</v>
      </c>
      <c r="B116" s="13">
        <v>2022</v>
      </c>
      <c r="C116" s="13">
        <v>275</v>
      </c>
      <c r="D116" s="13">
        <f t="shared" si="3"/>
        <v>1</v>
      </c>
      <c r="E116" s="13"/>
      <c r="F116" s="13">
        <f t="shared" si="1"/>
        <v>3</v>
      </c>
      <c r="G116" s="14">
        <v>1</v>
      </c>
      <c r="H116" s="14">
        <v>0</v>
      </c>
      <c r="I116" s="14">
        <v>1</v>
      </c>
      <c r="J116" s="14">
        <v>0</v>
      </c>
      <c r="K116" s="14">
        <v>0</v>
      </c>
      <c r="L116" s="14">
        <v>1</v>
      </c>
      <c r="M116" s="15">
        <v>259.79300000000001</v>
      </c>
      <c r="N116" s="16" t="str">
        <f t="shared" si="4"/>
        <v>W</v>
      </c>
      <c r="O116" s="17">
        <v>7.9</v>
      </c>
      <c r="P116" s="16" t="s">
        <v>137</v>
      </c>
      <c r="Q116" s="18">
        <v>2.4</v>
      </c>
      <c r="R116" s="19">
        <v>15.91</v>
      </c>
      <c r="S116" s="19">
        <v>12.1</v>
      </c>
      <c r="T116" s="19">
        <v>20.100000000000001</v>
      </c>
      <c r="U116" s="20">
        <v>256.60000000000002</v>
      </c>
      <c r="V116" s="16" t="s">
        <v>16</v>
      </c>
      <c r="W116" s="21">
        <v>0.17</v>
      </c>
      <c r="X116" s="21">
        <v>0.21</v>
      </c>
      <c r="Y116" s="21">
        <v>0</v>
      </c>
      <c r="Z116" s="21">
        <v>0</v>
      </c>
      <c r="AA116" s="21">
        <v>0</v>
      </c>
      <c r="AB116" s="21">
        <v>0.46</v>
      </c>
      <c r="AC116" s="21">
        <v>0.12</v>
      </c>
      <c r="AD116" s="21">
        <v>0.04</v>
      </c>
      <c r="AE116" s="21">
        <v>7.67</v>
      </c>
      <c r="AF116" s="21">
        <v>4.92</v>
      </c>
      <c r="AG116" s="21">
        <v>14.1</v>
      </c>
      <c r="AH116" s="18" t="s">
        <v>28</v>
      </c>
      <c r="AI116" s="13" t="str">
        <f>VLOOKUP(AH116,'Hess and Brezowsky'!$B$2:$G$31,2,FALSE)</f>
        <v>Zonal</v>
      </c>
      <c r="AJ116" s="18" t="str">
        <f>VLOOKUP(AH116,'Hess and Brezowsky'!$B$2:$G$31,3,FALSE)</f>
        <v>C</v>
      </c>
      <c r="AK116" s="13" t="str">
        <f>VLOOKUP(AH116,'Hess and Brezowsky'!$B$2:$G$31,4,FALSE)</f>
        <v>Cyclonic Westerly</v>
      </c>
      <c r="AL116" s="29">
        <v>0.24465277777777777</v>
      </c>
      <c r="AM116" s="29">
        <v>0.4869560185185185</v>
      </c>
      <c r="AN116" s="30">
        <v>0.72925925925925927</v>
      </c>
    </row>
    <row r="117" spans="1:40" ht="15.75" customHeight="1" x14ac:dyDescent="0.2">
      <c r="A117" s="27">
        <v>44837</v>
      </c>
      <c r="B117" s="13">
        <v>2022</v>
      </c>
      <c r="C117" s="13">
        <v>276</v>
      </c>
      <c r="D117" s="13">
        <f t="shared" si="3"/>
        <v>2</v>
      </c>
      <c r="E117" s="13"/>
      <c r="F117" s="13">
        <f t="shared" si="1"/>
        <v>3</v>
      </c>
      <c r="G117" s="14">
        <v>1</v>
      </c>
      <c r="H117" s="14">
        <v>0</v>
      </c>
      <c r="I117" s="14">
        <v>1</v>
      </c>
      <c r="J117" s="14">
        <v>0</v>
      </c>
      <c r="K117" s="14">
        <v>0</v>
      </c>
      <c r="L117" s="14">
        <v>0.87</v>
      </c>
      <c r="M117" s="15">
        <v>108.664</v>
      </c>
      <c r="N117" s="16" t="str">
        <f t="shared" si="4"/>
        <v>E</v>
      </c>
      <c r="O117" s="17">
        <v>3.2</v>
      </c>
      <c r="P117" s="16" t="s">
        <v>140</v>
      </c>
      <c r="Q117" s="18">
        <v>0.4</v>
      </c>
      <c r="R117" s="19">
        <v>11.86</v>
      </c>
      <c r="S117" s="19">
        <v>9.9</v>
      </c>
      <c r="T117" s="19">
        <v>14.4</v>
      </c>
      <c r="U117" s="20">
        <v>112.56</v>
      </c>
      <c r="V117" s="16" t="s">
        <v>11</v>
      </c>
      <c r="W117" s="21">
        <v>0</v>
      </c>
      <c r="X117" s="21">
        <v>0.04</v>
      </c>
      <c r="Y117" s="21">
        <v>0.33</v>
      </c>
      <c r="Z117" s="21">
        <v>0.62</v>
      </c>
      <c r="AA117" s="21">
        <v>0</v>
      </c>
      <c r="AB117" s="21">
        <v>0</v>
      </c>
      <c r="AC117" s="21">
        <v>0</v>
      </c>
      <c r="AD117" s="21">
        <v>0</v>
      </c>
      <c r="AE117" s="21">
        <v>3.35</v>
      </c>
      <c r="AF117" s="21">
        <v>3.1</v>
      </c>
      <c r="AG117" s="21">
        <v>5.2</v>
      </c>
      <c r="AH117" s="18" t="s">
        <v>31</v>
      </c>
      <c r="AI117" s="13" t="str">
        <f>VLOOKUP(AH117,'Hess and Brezowsky'!$B$2:$G$31,2,FALSE)</f>
        <v>Zonal</v>
      </c>
      <c r="AJ117" s="18" t="str">
        <f>VLOOKUP(AH117,'Hess and Brezowsky'!$B$2:$G$31,3,FALSE)</f>
        <v>A</v>
      </c>
      <c r="AK117" s="13" t="str">
        <f>VLOOKUP(AH117,'Hess and Brezowsky'!$B$2:$G$31,4,FALSE)</f>
        <v>Anticyclonic Westerly</v>
      </c>
      <c r="AL117" s="29">
        <v>0.24565972222222221</v>
      </c>
      <c r="AM117" s="29">
        <v>0.48673611111111109</v>
      </c>
      <c r="AN117" s="30">
        <v>0.72780092592592593</v>
      </c>
    </row>
    <row r="118" spans="1:40" ht="15.75" customHeight="1" x14ac:dyDescent="0.2">
      <c r="A118" s="27">
        <v>44838</v>
      </c>
      <c r="B118" s="13">
        <v>2022</v>
      </c>
      <c r="C118" s="13">
        <v>277</v>
      </c>
      <c r="D118" s="13">
        <f t="shared" si="3"/>
        <v>3</v>
      </c>
      <c r="E118" s="13"/>
      <c r="F118" s="13">
        <f t="shared" si="1"/>
        <v>3</v>
      </c>
      <c r="G118" s="14">
        <v>0.95</v>
      </c>
      <c r="H118" s="14">
        <v>0</v>
      </c>
      <c r="I118" s="14">
        <v>1</v>
      </c>
      <c r="J118" s="14">
        <v>0</v>
      </c>
      <c r="K118" s="14">
        <v>0</v>
      </c>
      <c r="L118" s="14">
        <v>1</v>
      </c>
      <c r="M118" s="15">
        <v>209.75</v>
      </c>
      <c r="N118" s="16" t="str">
        <f t="shared" si="4"/>
        <v>SW</v>
      </c>
      <c r="O118" s="17">
        <v>4.8</v>
      </c>
      <c r="P118" s="16" t="s">
        <v>138</v>
      </c>
      <c r="Q118" s="18">
        <v>0.2</v>
      </c>
      <c r="R118" s="19">
        <v>13.24</v>
      </c>
      <c r="S118" s="19">
        <v>7.5</v>
      </c>
      <c r="T118" s="19">
        <v>19.100000000000001</v>
      </c>
      <c r="U118" s="20">
        <v>203.82</v>
      </c>
      <c r="V118" s="16" t="s">
        <v>5</v>
      </c>
      <c r="W118" s="21">
        <v>0</v>
      </c>
      <c r="X118" s="21">
        <v>0</v>
      </c>
      <c r="Y118" s="21">
        <v>0</v>
      </c>
      <c r="Z118" s="21">
        <v>0.17</v>
      </c>
      <c r="AA118" s="21">
        <v>0.28999999999999998</v>
      </c>
      <c r="AB118" s="21">
        <v>0.54</v>
      </c>
      <c r="AC118" s="21">
        <v>0</v>
      </c>
      <c r="AD118" s="21">
        <v>0</v>
      </c>
      <c r="AE118" s="21">
        <v>3.76</v>
      </c>
      <c r="AF118" s="21">
        <v>3.22</v>
      </c>
      <c r="AG118" s="21">
        <v>7.9</v>
      </c>
      <c r="AH118" s="18" t="s">
        <v>31</v>
      </c>
      <c r="AI118" s="13" t="str">
        <f>VLOOKUP(AH118,'Hess and Brezowsky'!$B$2:$G$31,2,FALSE)</f>
        <v>Zonal</v>
      </c>
      <c r="AJ118" s="18" t="str">
        <f>VLOOKUP(AH118,'Hess and Brezowsky'!$B$2:$G$31,3,FALSE)</f>
        <v>A</v>
      </c>
      <c r="AK118" s="13" t="str">
        <f>VLOOKUP(AH118,'Hess and Brezowsky'!$B$2:$G$31,4,FALSE)</f>
        <v>Anticyclonic Westerly</v>
      </c>
      <c r="AL118" s="29">
        <v>0.24667824074074074</v>
      </c>
      <c r="AM118" s="29">
        <v>0.48650462962962965</v>
      </c>
      <c r="AN118" s="30">
        <v>0.7263425925925926</v>
      </c>
    </row>
    <row r="119" spans="1:40" ht="15.75" customHeight="1" x14ac:dyDescent="0.2">
      <c r="A119" s="27">
        <v>44839</v>
      </c>
      <c r="B119" s="13">
        <v>2022</v>
      </c>
      <c r="C119" s="13">
        <v>278</v>
      </c>
      <c r="D119" s="13">
        <f t="shared" si="3"/>
        <v>4</v>
      </c>
      <c r="E119" s="13"/>
      <c r="F119" s="13">
        <f t="shared" si="1"/>
        <v>3</v>
      </c>
      <c r="G119" s="14">
        <v>1</v>
      </c>
      <c r="H119" s="14">
        <v>0</v>
      </c>
      <c r="I119" s="14">
        <v>1</v>
      </c>
      <c r="J119" s="14">
        <v>0</v>
      </c>
      <c r="K119" s="14">
        <v>0</v>
      </c>
      <c r="L119" s="14">
        <v>1</v>
      </c>
      <c r="M119" s="15">
        <v>231.506</v>
      </c>
      <c r="N119" s="16" t="str">
        <f t="shared" si="4"/>
        <v>SW</v>
      </c>
      <c r="O119" s="17">
        <v>10.4</v>
      </c>
      <c r="P119" s="16" t="s">
        <v>137</v>
      </c>
      <c r="Q119" s="18">
        <v>0</v>
      </c>
      <c r="R119" s="19">
        <v>16.04</v>
      </c>
      <c r="S119" s="19">
        <v>11.4</v>
      </c>
      <c r="T119" s="19">
        <v>20.7</v>
      </c>
      <c r="U119" s="20">
        <v>232.81</v>
      </c>
      <c r="V119" s="16" t="s">
        <v>5</v>
      </c>
      <c r="W119" s="21">
        <v>0</v>
      </c>
      <c r="X119" s="21">
        <v>0</v>
      </c>
      <c r="Y119" s="21">
        <v>0</v>
      </c>
      <c r="Z119" s="21">
        <v>0</v>
      </c>
      <c r="AA119" s="21">
        <v>0.12</v>
      </c>
      <c r="AB119" s="21">
        <v>0.67</v>
      </c>
      <c r="AC119" s="21">
        <v>0.21</v>
      </c>
      <c r="AD119" s="21">
        <v>0</v>
      </c>
      <c r="AE119" s="21">
        <v>9.07</v>
      </c>
      <c r="AF119" s="21">
        <v>7.96</v>
      </c>
      <c r="AG119" s="21">
        <v>16.2</v>
      </c>
      <c r="AH119" s="18" t="s">
        <v>31</v>
      </c>
      <c r="AI119" s="13" t="str">
        <f>VLOOKUP(AH119,'Hess and Brezowsky'!$B$2:$G$31,2,FALSE)</f>
        <v>Zonal</v>
      </c>
      <c r="AJ119" s="18" t="str">
        <f>VLOOKUP(AH119,'Hess and Brezowsky'!$B$2:$G$31,3,FALSE)</f>
        <v>A</v>
      </c>
      <c r="AK119" s="13" t="str">
        <f>VLOOKUP(AH119,'Hess and Brezowsky'!$B$2:$G$31,4,FALSE)</f>
        <v>Anticyclonic Westerly</v>
      </c>
      <c r="AL119" s="29">
        <v>0.24768518518518517</v>
      </c>
      <c r="AM119" s="29">
        <v>0.48628472222222224</v>
      </c>
      <c r="AN119" s="30">
        <v>0.72488425925925926</v>
      </c>
    </row>
    <row r="120" spans="1:40" ht="15.75" customHeight="1" x14ac:dyDescent="0.2">
      <c r="A120" s="27">
        <v>44840</v>
      </c>
      <c r="B120" s="13">
        <v>2022</v>
      </c>
      <c r="C120" s="13">
        <v>279</v>
      </c>
      <c r="D120" s="13">
        <f t="shared" si="3"/>
        <v>5</v>
      </c>
      <c r="E120" s="13"/>
      <c r="F120" s="13">
        <f t="shared" si="1"/>
        <v>3</v>
      </c>
      <c r="G120" s="14">
        <v>1</v>
      </c>
      <c r="H120" s="14">
        <v>0</v>
      </c>
      <c r="I120" s="14">
        <v>1</v>
      </c>
      <c r="J120" s="14">
        <v>0</v>
      </c>
      <c r="K120" s="14">
        <v>0</v>
      </c>
      <c r="L120" s="14">
        <v>1</v>
      </c>
      <c r="M120" s="15">
        <v>294.10000000000002</v>
      </c>
      <c r="N120" s="16" t="str">
        <f t="shared" si="4"/>
        <v>NW</v>
      </c>
      <c r="O120" s="17">
        <v>3.8</v>
      </c>
      <c r="P120" s="16" t="s">
        <v>138</v>
      </c>
      <c r="Q120" s="18">
        <v>0</v>
      </c>
      <c r="R120" s="19">
        <v>14.23</v>
      </c>
      <c r="S120" s="19">
        <v>10</v>
      </c>
      <c r="T120" s="19">
        <v>19.399999999999999</v>
      </c>
      <c r="U120" s="20">
        <v>291.36</v>
      </c>
      <c r="V120" s="16" t="s">
        <v>16</v>
      </c>
      <c r="W120" s="21">
        <v>0.04</v>
      </c>
      <c r="X120" s="21">
        <v>0</v>
      </c>
      <c r="Y120" s="21">
        <v>0</v>
      </c>
      <c r="Z120" s="21">
        <v>0.04</v>
      </c>
      <c r="AA120" s="21">
        <v>0</v>
      </c>
      <c r="AB120" s="21">
        <v>0</v>
      </c>
      <c r="AC120" s="21">
        <v>0.5</v>
      </c>
      <c r="AD120" s="21">
        <v>0.42</v>
      </c>
      <c r="AE120" s="21">
        <v>4.29</v>
      </c>
      <c r="AF120" s="21">
        <v>4.1100000000000003</v>
      </c>
      <c r="AG120" s="21">
        <v>12.4</v>
      </c>
      <c r="AH120" s="18" t="s">
        <v>32</v>
      </c>
      <c r="AI120" s="13" t="str">
        <f>VLOOKUP(AH120,'Hess and Brezowsky'!$B$2:$G$31,2,FALSE)</f>
        <v>Mixed</v>
      </c>
      <c r="AJ120" s="18" t="str">
        <f>VLOOKUP(AH120,'Hess and Brezowsky'!$B$2:$G$31,3,FALSE)</f>
        <v>A</v>
      </c>
      <c r="AK120" s="13" t="str">
        <f>VLOOKUP(AH120,'Hess and Brezowsky'!$B$2:$G$31,4,FALSE)</f>
        <v>Anticyclonic South-Westerly</v>
      </c>
      <c r="AL120" s="29">
        <v>0.2487037037037037</v>
      </c>
      <c r="AM120" s="29">
        <v>0.48607638888888888</v>
      </c>
      <c r="AN120" s="30">
        <v>0.72343749999999996</v>
      </c>
    </row>
    <row r="121" spans="1:40" ht="15.75" customHeight="1" x14ac:dyDescent="0.2">
      <c r="A121" s="27">
        <v>44841</v>
      </c>
      <c r="B121" s="13">
        <v>2022</v>
      </c>
      <c r="C121" s="13">
        <v>280</v>
      </c>
      <c r="D121" s="13">
        <f t="shared" si="3"/>
        <v>6</v>
      </c>
      <c r="E121" s="13"/>
      <c r="F121" s="13">
        <f t="shared" si="1"/>
        <v>3</v>
      </c>
      <c r="G121" s="14">
        <v>1</v>
      </c>
      <c r="H121" s="14">
        <v>0</v>
      </c>
      <c r="I121" s="14">
        <v>1</v>
      </c>
      <c r="J121" s="14">
        <v>0</v>
      </c>
      <c r="K121" s="14">
        <v>0</v>
      </c>
      <c r="L121" s="14">
        <v>1</v>
      </c>
      <c r="M121" s="15">
        <v>243.179</v>
      </c>
      <c r="N121" s="16" t="str">
        <f t="shared" si="4"/>
        <v>SW</v>
      </c>
      <c r="O121" s="17">
        <v>4.3</v>
      </c>
      <c r="P121" s="16" t="s">
        <v>138</v>
      </c>
      <c r="Q121" s="18">
        <v>0.2</v>
      </c>
      <c r="R121" s="19">
        <v>13.38</v>
      </c>
      <c r="S121" s="19">
        <v>7.7</v>
      </c>
      <c r="T121" s="19">
        <v>19.8</v>
      </c>
      <c r="U121" s="20">
        <v>248.04</v>
      </c>
      <c r="V121" s="16" t="s">
        <v>16</v>
      </c>
      <c r="W121" s="21">
        <v>0</v>
      </c>
      <c r="X121" s="21">
        <v>0</v>
      </c>
      <c r="Y121" s="21">
        <v>0</v>
      </c>
      <c r="Z121" s="21">
        <v>0.04</v>
      </c>
      <c r="AA121" s="21">
        <v>0.46</v>
      </c>
      <c r="AB121" s="21">
        <v>0.17</v>
      </c>
      <c r="AC121" s="21">
        <v>0.28999999999999998</v>
      </c>
      <c r="AD121" s="21">
        <v>0.04</v>
      </c>
      <c r="AE121" s="21">
        <v>3.76</v>
      </c>
      <c r="AF121" s="21">
        <v>2.57</v>
      </c>
      <c r="AG121" s="21">
        <v>9.8000000000000007</v>
      </c>
      <c r="AH121" s="18" t="s">
        <v>32</v>
      </c>
      <c r="AI121" s="13" t="str">
        <f>VLOOKUP(AH121,'Hess and Brezowsky'!$B$2:$G$31,2,FALSE)</f>
        <v>Mixed</v>
      </c>
      <c r="AJ121" s="18" t="str">
        <f>VLOOKUP(AH121,'Hess and Brezowsky'!$B$2:$G$31,3,FALSE)</f>
        <v>A</v>
      </c>
      <c r="AK121" s="13" t="str">
        <f>VLOOKUP(AH121,'Hess and Brezowsky'!$B$2:$G$31,4,FALSE)</f>
        <v>Anticyclonic South-Westerly</v>
      </c>
      <c r="AL121" s="29">
        <v>0.2497337962962963</v>
      </c>
      <c r="AM121" s="29">
        <v>0.48586805555555557</v>
      </c>
      <c r="AN121" s="30">
        <v>0.72200231481481481</v>
      </c>
    </row>
    <row r="122" spans="1:40" ht="15.75" customHeight="1" x14ac:dyDescent="0.2">
      <c r="A122" s="27">
        <v>44842</v>
      </c>
      <c r="B122" s="13">
        <v>2022</v>
      </c>
      <c r="C122" s="13">
        <v>281</v>
      </c>
      <c r="D122" s="13">
        <f t="shared" si="3"/>
        <v>7</v>
      </c>
      <c r="E122" s="13"/>
      <c r="F122" s="13">
        <f t="shared" si="1"/>
        <v>3</v>
      </c>
      <c r="G122" s="14">
        <v>1</v>
      </c>
      <c r="H122" s="14">
        <v>0</v>
      </c>
      <c r="I122" s="14">
        <v>1</v>
      </c>
      <c r="J122" s="14">
        <v>0</v>
      </c>
      <c r="K122" s="14">
        <v>0</v>
      </c>
      <c r="L122" s="14">
        <v>1</v>
      </c>
      <c r="M122" s="15">
        <v>335.87099999999998</v>
      </c>
      <c r="N122" s="16" t="str">
        <f t="shared" si="4"/>
        <v>NW</v>
      </c>
      <c r="O122" s="17">
        <v>6.3</v>
      </c>
      <c r="P122" s="16" t="s">
        <v>137</v>
      </c>
      <c r="Q122" s="18">
        <v>0</v>
      </c>
      <c r="R122" s="19">
        <v>13.74</v>
      </c>
      <c r="S122" s="19">
        <v>10.3</v>
      </c>
      <c r="T122" s="19">
        <v>18.399999999999999</v>
      </c>
      <c r="U122" s="20">
        <v>325.06</v>
      </c>
      <c r="V122" s="16" t="s">
        <v>6</v>
      </c>
      <c r="W122" s="21">
        <v>0.25</v>
      </c>
      <c r="X122" s="21">
        <v>0.08</v>
      </c>
      <c r="Y122" s="21">
        <v>0.17</v>
      </c>
      <c r="Z122" s="21">
        <v>0</v>
      </c>
      <c r="AA122" s="21">
        <v>0</v>
      </c>
      <c r="AB122" s="21">
        <v>0</v>
      </c>
      <c r="AC122" s="21">
        <v>0.17</v>
      </c>
      <c r="AD122" s="21">
        <v>0.33</v>
      </c>
      <c r="AE122" s="21">
        <v>6.4</v>
      </c>
      <c r="AF122" s="21">
        <v>3.61</v>
      </c>
      <c r="AG122" s="21">
        <v>13.4</v>
      </c>
      <c r="AH122" s="18" t="s">
        <v>32</v>
      </c>
      <c r="AI122" s="13" t="str">
        <f>VLOOKUP(AH122,'Hess and Brezowsky'!$B$2:$G$31,2,FALSE)</f>
        <v>Mixed</v>
      </c>
      <c r="AJ122" s="18" t="str">
        <f>VLOOKUP(AH122,'Hess and Brezowsky'!$B$2:$G$31,3,FALSE)</f>
        <v>A</v>
      </c>
      <c r="AK122" s="13" t="str">
        <f>VLOOKUP(AH122,'Hess and Brezowsky'!$B$2:$G$31,4,FALSE)</f>
        <v>Anticyclonic South-Westerly</v>
      </c>
      <c r="AL122" s="29">
        <v>0.2507523148148148</v>
      </c>
      <c r="AM122" s="29">
        <v>0.4856597222222222</v>
      </c>
      <c r="AN122" s="30">
        <v>0.72056712962962965</v>
      </c>
    </row>
    <row r="123" spans="1:40" ht="15.75" customHeight="1" x14ac:dyDescent="0.2">
      <c r="A123" s="27">
        <v>44843</v>
      </c>
      <c r="B123" s="13">
        <v>2022</v>
      </c>
      <c r="C123" s="13">
        <v>282</v>
      </c>
      <c r="D123" s="13">
        <f t="shared" si="3"/>
        <v>1</v>
      </c>
      <c r="E123" s="13"/>
      <c r="F123" s="13">
        <f t="shared" si="1"/>
        <v>3</v>
      </c>
      <c r="G123" s="14">
        <v>1</v>
      </c>
      <c r="H123" s="14">
        <v>0</v>
      </c>
      <c r="I123" s="14">
        <v>1</v>
      </c>
      <c r="J123" s="14">
        <v>0</v>
      </c>
      <c r="K123" s="14">
        <v>0</v>
      </c>
      <c r="L123" s="14">
        <v>1</v>
      </c>
      <c r="M123" s="15">
        <v>137.84299999999999</v>
      </c>
      <c r="N123" s="16" t="str">
        <f t="shared" si="4"/>
        <v>SE</v>
      </c>
      <c r="O123" s="17">
        <v>7.6</v>
      </c>
      <c r="P123" s="16" t="s">
        <v>139</v>
      </c>
      <c r="Q123" s="18">
        <v>0</v>
      </c>
      <c r="R123" s="19">
        <v>12.76</v>
      </c>
      <c r="S123" s="19">
        <v>7.3</v>
      </c>
      <c r="T123" s="19">
        <v>19.600000000000001</v>
      </c>
      <c r="U123" s="20">
        <v>141.57</v>
      </c>
      <c r="V123" s="16" t="s">
        <v>11</v>
      </c>
      <c r="W123" s="21">
        <v>0</v>
      </c>
      <c r="X123" s="21">
        <v>0</v>
      </c>
      <c r="Y123" s="21">
        <v>0.12</v>
      </c>
      <c r="Z123" s="21">
        <v>0.62</v>
      </c>
      <c r="AA123" s="21">
        <v>0.25</v>
      </c>
      <c r="AB123" s="21">
        <v>0</v>
      </c>
      <c r="AC123" s="21">
        <v>0</v>
      </c>
      <c r="AD123" s="21">
        <v>0</v>
      </c>
      <c r="AE123" s="21">
        <v>7.52</v>
      </c>
      <c r="AF123" s="21">
        <v>6.82</v>
      </c>
      <c r="AG123" s="21">
        <v>10.5</v>
      </c>
      <c r="AH123" s="18" t="s">
        <v>32</v>
      </c>
      <c r="AI123" s="13" t="str">
        <f>VLOOKUP(AH123,'Hess and Brezowsky'!$B$2:$G$31,2,FALSE)</f>
        <v>Mixed</v>
      </c>
      <c r="AJ123" s="18" t="str">
        <f>VLOOKUP(AH123,'Hess and Brezowsky'!$B$2:$G$31,3,FALSE)</f>
        <v>A</v>
      </c>
      <c r="AK123" s="13" t="str">
        <f>VLOOKUP(AH123,'Hess and Brezowsky'!$B$2:$G$31,4,FALSE)</f>
        <v>Anticyclonic South-Westerly</v>
      </c>
      <c r="AL123" s="29">
        <v>0.25178240740740743</v>
      </c>
      <c r="AM123" s="29">
        <v>0.48546296296296299</v>
      </c>
      <c r="AN123" s="30">
        <v>0.71914351851851854</v>
      </c>
    </row>
    <row r="124" spans="1:40" ht="15.75" customHeight="1" x14ac:dyDescent="0.2">
      <c r="A124" s="27">
        <v>44844</v>
      </c>
      <c r="B124" s="13">
        <v>2022</v>
      </c>
      <c r="C124" s="13">
        <v>283</v>
      </c>
      <c r="D124" s="13">
        <f t="shared" si="3"/>
        <v>2</v>
      </c>
      <c r="E124" s="13"/>
      <c r="F124" s="13">
        <f t="shared" si="1"/>
        <v>2</v>
      </c>
      <c r="G124" s="14">
        <v>0</v>
      </c>
      <c r="H124" s="14">
        <v>0</v>
      </c>
      <c r="I124" s="14">
        <v>1</v>
      </c>
      <c r="J124" s="14">
        <v>0</v>
      </c>
      <c r="K124" s="14">
        <v>0</v>
      </c>
      <c r="L124" s="14">
        <v>1</v>
      </c>
      <c r="M124" s="15">
        <v>237.20599999999999</v>
      </c>
      <c r="N124" s="16" t="str">
        <f t="shared" si="4"/>
        <v>SW</v>
      </c>
      <c r="O124" s="17">
        <v>6.8</v>
      </c>
      <c r="P124" s="16" t="s">
        <v>137</v>
      </c>
      <c r="Q124" s="18">
        <v>0</v>
      </c>
      <c r="R124" s="19">
        <v>14.58</v>
      </c>
      <c r="S124" s="19">
        <v>9.8000000000000007</v>
      </c>
      <c r="T124" s="19">
        <v>19.399999999999999</v>
      </c>
      <c r="U124" s="20">
        <v>251.57</v>
      </c>
      <c r="V124" s="16" t="s">
        <v>16</v>
      </c>
      <c r="W124" s="21">
        <v>0.21</v>
      </c>
      <c r="X124" s="21">
        <v>0.08</v>
      </c>
      <c r="Y124" s="21">
        <v>0</v>
      </c>
      <c r="Z124" s="21">
        <v>0</v>
      </c>
      <c r="AA124" s="21">
        <v>0.17</v>
      </c>
      <c r="AB124" s="21">
        <v>0.33</v>
      </c>
      <c r="AC124" s="21">
        <v>0.17</v>
      </c>
      <c r="AD124" s="21">
        <v>0.04</v>
      </c>
      <c r="AE124" s="21">
        <v>5.96</v>
      </c>
      <c r="AF124" s="21">
        <v>1.97</v>
      </c>
      <c r="AG124" s="21">
        <v>10</v>
      </c>
      <c r="AH124" s="18" t="s">
        <v>4</v>
      </c>
      <c r="AI124" s="13" t="str">
        <f>VLOOKUP(AH124,'Hess and Brezowsky'!$B$2:$G$31,2,FALSE)</f>
        <v>Mixed</v>
      </c>
      <c r="AJ124" s="18" t="str">
        <f>VLOOKUP(AH124,'Hess and Brezowsky'!$B$2:$G$31,3,FALSE)</f>
        <v>A</v>
      </c>
      <c r="AK124" s="13" t="str">
        <f>VLOOKUP(AH124,'Hess and Brezowsky'!$B$2:$G$31,4,FALSE)</f>
        <v>Zonal Ridge across Central Europe</v>
      </c>
      <c r="AL124" s="29">
        <v>0.25282407407407409</v>
      </c>
      <c r="AM124" s="29">
        <v>0.48527777777777775</v>
      </c>
      <c r="AN124" s="30">
        <v>0.71771990740740743</v>
      </c>
    </row>
    <row r="125" spans="1:40" ht="15.75" customHeight="1" x14ac:dyDescent="0.2">
      <c r="A125" s="27">
        <v>44845</v>
      </c>
      <c r="B125" s="13">
        <v>2022</v>
      </c>
      <c r="C125" s="13">
        <v>284</v>
      </c>
      <c r="D125" s="13">
        <f t="shared" si="3"/>
        <v>3</v>
      </c>
      <c r="E125" s="13"/>
      <c r="F125" s="13">
        <f t="shared" si="1"/>
        <v>3</v>
      </c>
      <c r="G125" s="14">
        <v>1</v>
      </c>
      <c r="H125" s="14">
        <v>0</v>
      </c>
      <c r="I125" s="14">
        <v>1</v>
      </c>
      <c r="J125" s="14">
        <v>0</v>
      </c>
      <c r="K125" s="14">
        <v>0</v>
      </c>
      <c r="L125" s="14">
        <v>1</v>
      </c>
      <c r="M125" s="15">
        <v>47.813000000000002</v>
      </c>
      <c r="N125" s="16" t="str">
        <f t="shared" si="4"/>
        <v>NE</v>
      </c>
      <c r="O125" s="17">
        <v>6.4</v>
      </c>
      <c r="P125" s="16" t="s">
        <v>138</v>
      </c>
      <c r="Q125" s="18">
        <v>0</v>
      </c>
      <c r="R125" s="19">
        <v>13.26</v>
      </c>
      <c r="S125" s="19">
        <v>9.8000000000000007</v>
      </c>
      <c r="T125" s="19">
        <v>18</v>
      </c>
      <c r="U125" s="20">
        <v>51.13</v>
      </c>
      <c r="V125" s="16" t="s">
        <v>10</v>
      </c>
      <c r="W125" s="21">
        <v>0</v>
      </c>
      <c r="X125" s="21">
        <v>0.88</v>
      </c>
      <c r="Y125" s="21">
        <v>0.08</v>
      </c>
      <c r="Z125" s="21">
        <v>0.04</v>
      </c>
      <c r="AA125" s="21">
        <v>0</v>
      </c>
      <c r="AB125" s="21">
        <v>0</v>
      </c>
      <c r="AC125" s="21">
        <v>0</v>
      </c>
      <c r="AD125" s="21">
        <v>0</v>
      </c>
      <c r="AE125" s="21">
        <v>6.31</v>
      </c>
      <c r="AF125" s="21">
        <v>6</v>
      </c>
      <c r="AG125" s="21">
        <v>12</v>
      </c>
      <c r="AH125" s="18" t="s">
        <v>4</v>
      </c>
      <c r="AI125" s="13" t="str">
        <f>VLOOKUP(AH125,'Hess and Brezowsky'!$B$2:$G$31,2,FALSE)</f>
        <v>Mixed</v>
      </c>
      <c r="AJ125" s="18" t="str">
        <f>VLOOKUP(AH125,'Hess and Brezowsky'!$B$2:$G$31,3,FALSE)</f>
        <v>A</v>
      </c>
      <c r="AK125" s="13" t="str">
        <f>VLOOKUP(AH125,'Hess and Brezowsky'!$B$2:$G$31,4,FALSE)</f>
        <v>Zonal Ridge across Central Europe</v>
      </c>
      <c r="AL125" s="29">
        <v>0.25385416666666666</v>
      </c>
      <c r="AM125" s="29">
        <v>0.48509259259259258</v>
      </c>
      <c r="AN125" s="30">
        <v>0.7163194444444444</v>
      </c>
    </row>
    <row r="126" spans="1:40" ht="15.75" customHeight="1" x14ac:dyDescent="0.2">
      <c r="A126" s="27">
        <v>44846</v>
      </c>
      <c r="B126" s="13">
        <v>2022</v>
      </c>
      <c r="C126" s="13">
        <v>285</v>
      </c>
      <c r="D126" s="13">
        <f t="shared" si="3"/>
        <v>4</v>
      </c>
      <c r="E126" s="13"/>
      <c r="F126" s="13">
        <f t="shared" si="1"/>
        <v>3</v>
      </c>
      <c r="G126" s="14">
        <v>1</v>
      </c>
      <c r="H126" s="14">
        <v>0</v>
      </c>
      <c r="I126" s="14">
        <v>1</v>
      </c>
      <c r="J126" s="14">
        <v>0</v>
      </c>
      <c r="K126" s="14">
        <v>0</v>
      </c>
      <c r="L126" s="14">
        <v>1</v>
      </c>
      <c r="M126" s="15">
        <v>212.72900000000001</v>
      </c>
      <c r="N126" s="16" t="str">
        <f t="shared" si="4"/>
        <v>SW</v>
      </c>
      <c r="O126" s="17">
        <v>3.2</v>
      </c>
      <c r="P126" s="16" t="s">
        <v>137</v>
      </c>
      <c r="Q126" s="18">
        <v>0</v>
      </c>
      <c r="R126" s="19">
        <v>13.62</v>
      </c>
      <c r="S126" s="19">
        <v>8.8000000000000007</v>
      </c>
      <c r="T126" s="19">
        <v>19.600000000000001</v>
      </c>
      <c r="U126" s="20">
        <v>212.95</v>
      </c>
      <c r="V126" s="16" t="s">
        <v>5</v>
      </c>
      <c r="W126" s="21">
        <v>0</v>
      </c>
      <c r="X126" s="21">
        <v>0</v>
      </c>
      <c r="Y126" s="21">
        <v>0</v>
      </c>
      <c r="Z126" s="21">
        <v>0.08</v>
      </c>
      <c r="AA126" s="21">
        <v>0.21</v>
      </c>
      <c r="AB126" s="21">
        <v>0.57999999999999996</v>
      </c>
      <c r="AC126" s="21">
        <v>0.12</v>
      </c>
      <c r="AD126" s="21">
        <v>0</v>
      </c>
      <c r="AE126" s="21">
        <v>2.38</v>
      </c>
      <c r="AF126" s="21">
        <v>1.92</v>
      </c>
      <c r="AG126" s="21">
        <v>6</v>
      </c>
      <c r="AH126" s="18" t="s">
        <v>4</v>
      </c>
      <c r="AI126" s="13" t="str">
        <f>VLOOKUP(AH126,'Hess and Brezowsky'!$B$2:$G$31,2,FALSE)</f>
        <v>Mixed</v>
      </c>
      <c r="AJ126" s="18" t="str">
        <f>VLOOKUP(AH126,'Hess and Brezowsky'!$B$2:$G$31,3,FALSE)</f>
        <v>A</v>
      </c>
      <c r="AK126" s="13" t="str">
        <f>VLOOKUP(AH126,'Hess and Brezowsky'!$B$2:$G$31,4,FALSE)</f>
        <v>Zonal Ridge across Central Europe</v>
      </c>
      <c r="AL126" s="29">
        <v>0.25490740740740742</v>
      </c>
      <c r="AM126" s="29">
        <v>0.4849074074074074</v>
      </c>
      <c r="AN126" s="30">
        <v>0.71490740740740744</v>
      </c>
    </row>
    <row r="127" spans="1:40" ht="15.75" customHeight="1" x14ac:dyDescent="0.2">
      <c r="A127" s="27">
        <v>44847</v>
      </c>
      <c r="B127" s="13">
        <v>2022</v>
      </c>
      <c r="C127" s="13">
        <v>286</v>
      </c>
      <c r="D127" s="13">
        <f t="shared" si="3"/>
        <v>5</v>
      </c>
      <c r="E127" s="13"/>
      <c r="F127" s="13">
        <f t="shared" si="1"/>
        <v>3</v>
      </c>
      <c r="G127" s="14">
        <v>1</v>
      </c>
      <c r="H127" s="14">
        <v>0</v>
      </c>
      <c r="I127" s="14">
        <v>1</v>
      </c>
      <c r="J127" s="14">
        <v>0</v>
      </c>
      <c r="K127" s="14">
        <v>0</v>
      </c>
      <c r="L127" s="14">
        <v>1</v>
      </c>
      <c r="M127" s="15">
        <v>216.852</v>
      </c>
      <c r="N127" s="16" t="str">
        <f t="shared" si="4"/>
        <v>SW</v>
      </c>
      <c r="O127" s="17">
        <v>7.7</v>
      </c>
      <c r="P127" s="16" t="s">
        <v>140</v>
      </c>
      <c r="Q127" s="18">
        <v>3.6</v>
      </c>
      <c r="R127" s="19">
        <v>14.15</v>
      </c>
      <c r="S127" s="19">
        <v>12.5</v>
      </c>
      <c r="T127" s="19">
        <v>15.5</v>
      </c>
      <c r="U127" s="20">
        <v>212.86</v>
      </c>
      <c r="V127" s="16" t="s">
        <v>5</v>
      </c>
      <c r="W127" s="21">
        <v>0</v>
      </c>
      <c r="X127" s="21">
        <v>0</v>
      </c>
      <c r="Y127" s="21">
        <v>0</v>
      </c>
      <c r="Z127" s="21">
        <v>0</v>
      </c>
      <c r="AA127" s="21">
        <v>0.46</v>
      </c>
      <c r="AB127" s="21">
        <v>0.54</v>
      </c>
      <c r="AC127" s="21">
        <v>0</v>
      </c>
      <c r="AD127" s="21">
        <v>0</v>
      </c>
      <c r="AE127" s="21">
        <v>7.19</v>
      </c>
      <c r="AF127" s="21">
        <v>6.86</v>
      </c>
      <c r="AG127" s="21">
        <v>11</v>
      </c>
      <c r="AH127" s="18" t="s">
        <v>33</v>
      </c>
      <c r="AI127" s="13" t="str">
        <f>VLOOKUP(AH127,'Hess and Brezowsky'!$B$2:$G$31,2,FALSE)</f>
        <v>Mixed</v>
      </c>
      <c r="AJ127" s="18" t="str">
        <f>VLOOKUP(AH127,'Hess and Brezowsky'!$B$2:$G$31,3,FALSE)</f>
        <v>C</v>
      </c>
      <c r="AK127" s="13" t="str">
        <f>VLOOKUP(AH127,'Hess and Brezowsky'!$B$2:$G$31,4,FALSE)</f>
        <v>Cyclonic South-Westerly</v>
      </c>
      <c r="AL127" s="29">
        <v>0.25594907407407408</v>
      </c>
      <c r="AM127" s="29">
        <v>0.48473379629629632</v>
      </c>
      <c r="AN127" s="30">
        <v>0.71351851851851855</v>
      </c>
    </row>
    <row r="128" spans="1:40" ht="15.75" customHeight="1" x14ac:dyDescent="0.2">
      <c r="A128" s="27">
        <v>44848</v>
      </c>
      <c r="B128" s="13">
        <v>2022</v>
      </c>
      <c r="C128" s="13">
        <v>287</v>
      </c>
      <c r="D128" s="13">
        <f t="shared" si="3"/>
        <v>6</v>
      </c>
      <c r="E128" s="13"/>
      <c r="F128" s="13">
        <f t="shared" si="1"/>
        <v>3</v>
      </c>
      <c r="G128" s="14">
        <v>1</v>
      </c>
      <c r="H128" s="14">
        <v>0</v>
      </c>
      <c r="I128" s="14">
        <v>1</v>
      </c>
      <c r="J128" s="14">
        <v>0</v>
      </c>
      <c r="K128" s="14">
        <v>0</v>
      </c>
      <c r="L128" s="14">
        <v>1</v>
      </c>
      <c r="M128" s="15">
        <v>241.58099999999999</v>
      </c>
      <c r="N128" s="16" t="str">
        <f t="shared" si="4"/>
        <v>SW</v>
      </c>
      <c r="O128" s="17">
        <v>7.4</v>
      </c>
      <c r="P128" s="16" t="s">
        <v>140</v>
      </c>
      <c r="Q128" s="18">
        <v>5</v>
      </c>
      <c r="R128" s="19">
        <v>15.37</v>
      </c>
      <c r="S128" s="19">
        <v>14.2</v>
      </c>
      <c r="T128" s="19">
        <v>17.3</v>
      </c>
      <c r="U128" s="20">
        <v>244.88</v>
      </c>
      <c r="V128" s="16" t="s">
        <v>5</v>
      </c>
      <c r="W128" s="21">
        <v>0</v>
      </c>
      <c r="X128" s="21">
        <v>0</v>
      </c>
      <c r="Y128" s="21">
        <v>0</v>
      </c>
      <c r="Z128" s="21">
        <v>0</v>
      </c>
      <c r="AA128" s="21">
        <v>0.17</v>
      </c>
      <c r="AB128" s="21">
        <v>0.38</v>
      </c>
      <c r="AC128" s="21">
        <v>0.46</v>
      </c>
      <c r="AD128" s="21">
        <v>0</v>
      </c>
      <c r="AE128" s="21">
        <v>7.93</v>
      </c>
      <c r="AF128" s="21">
        <v>6.96</v>
      </c>
      <c r="AG128" s="21">
        <v>13.8</v>
      </c>
      <c r="AH128" s="18" t="s">
        <v>33</v>
      </c>
      <c r="AI128" s="13" t="str">
        <f>VLOOKUP(AH128,'Hess and Brezowsky'!$B$2:$G$31,2,FALSE)</f>
        <v>Mixed</v>
      </c>
      <c r="AJ128" s="18" t="str">
        <f>VLOOKUP(AH128,'Hess and Brezowsky'!$B$2:$G$31,3,FALSE)</f>
        <v>C</v>
      </c>
      <c r="AK128" s="13" t="str">
        <f>VLOOKUP(AH128,'Hess and Brezowsky'!$B$2:$G$31,4,FALSE)</f>
        <v>Cyclonic South-Westerly</v>
      </c>
      <c r="AL128" s="29">
        <v>0.25700231481481484</v>
      </c>
      <c r="AM128" s="29">
        <v>0.48457175925925927</v>
      </c>
      <c r="AN128" s="30">
        <v>0.71212962962962967</v>
      </c>
    </row>
    <row r="129" spans="1:40" ht="15.75" customHeight="1" x14ac:dyDescent="0.2">
      <c r="A129" s="27">
        <v>44849</v>
      </c>
      <c r="B129" s="13">
        <v>2022</v>
      </c>
      <c r="C129" s="13">
        <v>288</v>
      </c>
      <c r="D129" s="13">
        <f t="shared" si="3"/>
        <v>7</v>
      </c>
      <c r="E129" s="13"/>
      <c r="F129" s="13">
        <f t="shared" si="1"/>
        <v>3</v>
      </c>
      <c r="G129" s="14">
        <v>1</v>
      </c>
      <c r="H129" s="14">
        <v>0</v>
      </c>
      <c r="I129" s="14">
        <v>1</v>
      </c>
      <c r="J129" s="14">
        <v>0</v>
      </c>
      <c r="K129" s="14">
        <v>0</v>
      </c>
      <c r="L129" s="14">
        <v>0.95</v>
      </c>
      <c r="M129" s="15">
        <v>229.44200000000001</v>
      </c>
      <c r="N129" s="16" t="str">
        <f t="shared" si="4"/>
        <v>SW</v>
      </c>
      <c r="O129" s="17">
        <v>10.5</v>
      </c>
      <c r="P129" s="16" t="s">
        <v>137</v>
      </c>
      <c r="Q129" s="18">
        <v>4.4000000000000004</v>
      </c>
      <c r="R129" s="19">
        <v>16.39</v>
      </c>
      <c r="S129" s="19">
        <v>15.1</v>
      </c>
      <c r="T129" s="19">
        <v>18.7</v>
      </c>
      <c r="U129" s="20">
        <v>224.46</v>
      </c>
      <c r="V129" s="16" t="s">
        <v>5</v>
      </c>
      <c r="W129" s="21">
        <v>0</v>
      </c>
      <c r="X129" s="21">
        <v>0</v>
      </c>
      <c r="Y129" s="21">
        <v>0</v>
      </c>
      <c r="Z129" s="21">
        <v>0</v>
      </c>
      <c r="AA129" s="21">
        <v>0.08</v>
      </c>
      <c r="AB129" s="21">
        <v>0.79</v>
      </c>
      <c r="AC129" s="21">
        <v>0.12</v>
      </c>
      <c r="AD129" s="21">
        <v>0</v>
      </c>
      <c r="AE129" s="21">
        <v>7.85</v>
      </c>
      <c r="AF129" s="21">
        <v>7.41</v>
      </c>
      <c r="AG129" s="21">
        <v>12.3</v>
      </c>
      <c r="AH129" s="18" t="s">
        <v>33</v>
      </c>
      <c r="AI129" s="13" t="str">
        <f>VLOOKUP(AH129,'Hess and Brezowsky'!$B$2:$G$31,2,FALSE)</f>
        <v>Mixed</v>
      </c>
      <c r="AJ129" s="18" t="str">
        <f>VLOOKUP(AH129,'Hess and Brezowsky'!$B$2:$G$31,3,FALSE)</f>
        <v>C</v>
      </c>
      <c r="AK129" s="13" t="str">
        <f>VLOOKUP(AH129,'Hess and Brezowsky'!$B$2:$G$31,4,FALSE)</f>
        <v>Cyclonic South-Westerly</v>
      </c>
      <c r="AL129" s="29">
        <v>0.25805555555555554</v>
      </c>
      <c r="AM129" s="29">
        <v>0.48440972222222223</v>
      </c>
      <c r="AN129" s="30">
        <v>0.71076388888888886</v>
      </c>
    </row>
    <row r="130" spans="1:40" ht="15.75" customHeight="1" x14ac:dyDescent="0.2">
      <c r="A130" s="27">
        <v>44850</v>
      </c>
      <c r="B130" s="13">
        <v>2022</v>
      </c>
      <c r="C130" s="13">
        <v>289</v>
      </c>
      <c r="D130" s="13">
        <f t="shared" ref="D130:D193" si="5">WEEKDAY(A130)</f>
        <v>1</v>
      </c>
      <c r="E130" s="13"/>
      <c r="F130" s="13">
        <f t="shared" si="1"/>
        <v>3</v>
      </c>
      <c r="G130" s="14">
        <v>1</v>
      </c>
      <c r="H130" s="14">
        <v>0</v>
      </c>
      <c r="I130" s="14">
        <v>1</v>
      </c>
      <c r="J130" s="14">
        <v>0</v>
      </c>
      <c r="K130" s="14">
        <v>0</v>
      </c>
      <c r="L130" s="14">
        <v>1</v>
      </c>
      <c r="M130" s="15">
        <v>189.715</v>
      </c>
      <c r="N130" s="16" t="str">
        <f t="shared" ref="N130:N193" si="6">IF(AND(M130 &gt; 22.5,M130&lt;=67.6),"NE",IF(AND(M130 &gt; 67.5,M130&lt;=112.5),"E",IF(AND(M130 &gt; 112.5,M130&lt;=157.5),"SE",IF(AND(M130 &gt; 157.5,M130&lt;=202.5),"S",IF(AND(M130 &gt; 202.5,M130&lt;=247.5),"SW",IF(AND(M130 &gt; 247.5,M130&lt;=292.5),"W",IF(AND(M130 &gt; 292.5,M130&lt;=337.5),"NW",IF(AND(M130 &gt; 22.5,M130&lt;=360),"N","N"))))))))</f>
        <v>S</v>
      </c>
      <c r="O130" s="17">
        <v>6.6</v>
      </c>
      <c r="P130" s="16" t="s">
        <v>137</v>
      </c>
      <c r="Q130" s="18">
        <v>0</v>
      </c>
      <c r="R130" s="19">
        <v>17.04</v>
      </c>
      <c r="S130" s="19">
        <v>13.9</v>
      </c>
      <c r="T130" s="19">
        <v>20.5</v>
      </c>
      <c r="U130" s="20">
        <v>190.3</v>
      </c>
      <c r="V130" s="16" t="s">
        <v>13</v>
      </c>
      <c r="W130" s="21">
        <v>0</v>
      </c>
      <c r="X130" s="21">
        <v>0</v>
      </c>
      <c r="Y130" s="21">
        <v>0</v>
      </c>
      <c r="Z130" s="21">
        <v>0.25</v>
      </c>
      <c r="AA130" s="21">
        <v>0.42</v>
      </c>
      <c r="AB130" s="21">
        <v>0.21</v>
      </c>
      <c r="AC130" s="21">
        <v>0.12</v>
      </c>
      <c r="AD130" s="21">
        <v>0</v>
      </c>
      <c r="AE130" s="21">
        <v>6.56</v>
      </c>
      <c r="AF130" s="21">
        <v>5.34</v>
      </c>
      <c r="AG130" s="21">
        <v>13.6</v>
      </c>
      <c r="AH130" s="18" t="s">
        <v>33</v>
      </c>
      <c r="AI130" s="13" t="str">
        <f>VLOOKUP(AH130,'Hess and Brezowsky'!$B$2:$G$31,2,FALSE)</f>
        <v>Mixed</v>
      </c>
      <c r="AJ130" s="18" t="str">
        <f>VLOOKUP(AH130,'Hess and Brezowsky'!$B$2:$G$31,3,FALSE)</f>
        <v>C</v>
      </c>
      <c r="AK130" s="13" t="str">
        <f>VLOOKUP(AH130,'Hess and Brezowsky'!$B$2:$G$31,4,FALSE)</f>
        <v>Cyclonic South-Westerly</v>
      </c>
      <c r="AL130" s="29">
        <v>0.2591087962962963</v>
      </c>
      <c r="AM130" s="29">
        <v>0.48425925925925928</v>
      </c>
      <c r="AN130" s="30">
        <v>0.70939814814814817</v>
      </c>
    </row>
    <row r="131" spans="1:40" ht="15.75" customHeight="1" x14ac:dyDescent="0.2">
      <c r="A131" s="27">
        <v>44851</v>
      </c>
      <c r="B131" s="13">
        <v>2022</v>
      </c>
      <c r="C131" s="13">
        <v>290</v>
      </c>
      <c r="D131" s="13">
        <f t="shared" si="5"/>
        <v>2</v>
      </c>
      <c r="E131" s="13"/>
      <c r="F131" s="13">
        <f t="shared" si="1"/>
        <v>3</v>
      </c>
      <c r="G131" s="14">
        <v>1</v>
      </c>
      <c r="H131" s="14">
        <v>0</v>
      </c>
      <c r="I131" s="14">
        <v>1</v>
      </c>
      <c r="J131" s="14">
        <v>0</v>
      </c>
      <c r="K131" s="14">
        <v>0</v>
      </c>
      <c r="L131" s="14">
        <v>1</v>
      </c>
      <c r="M131" s="15">
        <v>194.30099999999999</v>
      </c>
      <c r="N131" s="16" t="str">
        <f t="shared" si="6"/>
        <v>S</v>
      </c>
      <c r="O131" s="17">
        <v>7.4</v>
      </c>
      <c r="P131" s="16" t="s">
        <v>140</v>
      </c>
      <c r="Q131" s="18">
        <v>13.3</v>
      </c>
      <c r="R131" s="19">
        <v>17.46</v>
      </c>
      <c r="S131" s="19">
        <v>16.7</v>
      </c>
      <c r="T131" s="19">
        <v>18.7</v>
      </c>
      <c r="U131" s="20">
        <v>194.84</v>
      </c>
      <c r="V131" s="16" t="s">
        <v>13</v>
      </c>
      <c r="W131" s="21">
        <v>0</v>
      </c>
      <c r="X131" s="21">
        <v>0</v>
      </c>
      <c r="Y131" s="21">
        <v>0</v>
      </c>
      <c r="Z131" s="21">
        <v>0.04</v>
      </c>
      <c r="AA131" s="21">
        <v>0.67</v>
      </c>
      <c r="AB131" s="21">
        <v>0.28999999999999998</v>
      </c>
      <c r="AC131" s="21">
        <v>0</v>
      </c>
      <c r="AD131" s="21">
        <v>0</v>
      </c>
      <c r="AE131" s="21">
        <v>7.09</v>
      </c>
      <c r="AF131" s="21">
        <v>6.76</v>
      </c>
      <c r="AG131" s="21">
        <v>13.4</v>
      </c>
      <c r="AH131" s="18" t="s">
        <v>33</v>
      </c>
      <c r="AI131" s="13" t="str">
        <f>VLOOKUP(AH131,'Hess and Brezowsky'!$B$2:$G$31,2,FALSE)</f>
        <v>Mixed</v>
      </c>
      <c r="AJ131" s="18" t="str">
        <f>VLOOKUP(AH131,'Hess and Brezowsky'!$B$2:$G$31,3,FALSE)</f>
        <v>C</v>
      </c>
      <c r="AK131" s="13" t="str">
        <f>VLOOKUP(AH131,'Hess and Brezowsky'!$B$2:$G$31,4,FALSE)</f>
        <v>Cyclonic South-Westerly</v>
      </c>
      <c r="AL131" s="29">
        <v>0.26017361111111109</v>
      </c>
      <c r="AM131" s="29">
        <v>0.48410879629629627</v>
      </c>
      <c r="AN131" s="30">
        <v>0.70804398148148151</v>
      </c>
    </row>
    <row r="132" spans="1:40" ht="15.75" customHeight="1" x14ac:dyDescent="0.2">
      <c r="A132" s="27">
        <v>44852</v>
      </c>
      <c r="B132" s="13">
        <v>2022</v>
      </c>
      <c r="C132" s="13">
        <v>291</v>
      </c>
      <c r="D132" s="13">
        <f t="shared" si="5"/>
        <v>3</v>
      </c>
      <c r="E132" s="13"/>
      <c r="F132" s="13">
        <f t="shared" si="1"/>
        <v>3</v>
      </c>
      <c r="G132" s="14">
        <v>1</v>
      </c>
      <c r="H132" s="14">
        <v>0</v>
      </c>
      <c r="I132" s="14">
        <v>1</v>
      </c>
      <c r="J132" s="14">
        <v>0</v>
      </c>
      <c r="K132" s="14">
        <v>0</v>
      </c>
      <c r="L132" s="14">
        <v>1</v>
      </c>
      <c r="M132" s="15">
        <v>98.754999999999995</v>
      </c>
      <c r="N132" s="16" t="str">
        <f t="shared" si="6"/>
        <v>E</v>
      </c>
      <c r="O132" s="17">
        <v>4.9000000000000004</v>
      </c>
      <c r="P132" s="16" t="s">
        <v>140</v>
      </c>
      <c r="Q132" s="18">
        <v>0</v>
      </c>
      <c r="R132" s="19">
        <v>16.88</v>
      </c>
      <c r="S132" s="19">
        <v>15.3</v>
      </c>
      <c r="T132" s="19">
        <v>18.600000000000001</v>
      </c>
      <c r="U132" s="20">
        <v>99.45</v>
      </c>
      <c r="V132" s="16" t="s">
        <v>9</v>
      </c>
      <c r="W132" s="21">
        <v>0.04</v>
      </c>
      <c r="X132" s="21">
        <v>0.12</v>
      </c>
      <c r="Y132" s="21">
        <v>0.67</v>
      </c>
      <c r="Z132" s="21">
        <v>0.08</v>
      </c>
      <c r="AA132" s="21">
        <v>0</v>
      </c>
      <c r="AB132" s="21">
        <v>0</v>
      </c>
      <c r="AC132" s="21">
        <v>0.04</v>
      </c>
      <c r="AD132" s="21">
        <v>0.04</v>
      </c>
      <c r="AE132" s="21">
        <v>4.7300000000000004</v>
      </c>
      <c r="AF132" s="21">
        <v>4.37</v>
      </c>
      <c r="AG132" s="21">
        <v>13.2</v>
      </c>
      <c r="AH132" s="18" t="s">
        <v>34</v>
      </c>
      <c r="AI132" s="13" t="str">
        <f>VLOOKUP(AH132,'Hess and Brezowsky'!$B$2:$G$31,2,FALSE)</f>
        <v>Meridional</v>
      </c>
      <c r="AJ132" s="18" t="str">
        <f>VLOOKUP(AH132,'Hess and Brezowsky'!$B$2:$G$31,3,FALSE)</f>
        <v>A</v>
      </c>
      <c r="AK132" s="13" t="str">
        <f>VLOOKUP(AH132,'Hess and Brezowsky'!$B$2:$G$31,4,FALSE)</f>
        <v>Icelandic High, Ride Central Europe</v>
      </c>
      <c r="AL132" s="29">
        <v>0.26123842592592594</v>
      </c>
      <c r="AM132" s="29">
        <v>0.48396990740740742</v>
      </c>
      <c r="AN132" s="30">
        <v>0.70670138888888889</v>
      </c>
    </row>
    <row r="133" spans="1:40" ht="15.75" customHeight="1" x14ac:dyDescent="0.2">
      <c r="A133" s="27">
        <v>44853</v>
      </c>
      <c r="B133" s="13">
        <v>2022</v>
      </c>
      <c r="C133" s="13">
        <v>292</v>
      </c>
      <c r="D133" s="13">
        <f t="shared" si="5"/>
        <v>4</v>
      </c>
      <c r="E133" s="13"/>
      <c r="F133" s="13">
        <f t="shared" si="1"/>
        <v>3</v>
      </c>
      <c r="G133" s="14">
        <v>1</v>
      </c>
      <c r="H133" s="14">
        <v>0</v>
      </c>
      <c r="I133" s="14">
        <v>1</v>
      </c>
      <c r="J133" s="14">
        <v>0</v>
      </c>
      <c r="K133" s="14">
        <v>0</v>
      </c>
      <c r="L133" s="14">
        <v>1</v>
      </c>
      <c r="M133" s="15">
        <v>115.11499999999999</v>
      </c>
      <c r="N133" s="16" t="str">
        <f t="shared" si="6"/>
        <v>SE</v>
      </c>
      <c r="O133" s="17">
        <v>10.1</v>
      </c>
      <c r="P133" s="16" t="s">
        <v>137</v>
      </c>
      <c r="Q133" s="18">
        <v>0.2</v>
      </c>
      <c r="R133" s="19">
        <v>17.23</v>
      </c>
      <c r="S133" s="19">
        <v>14.1</v>
      </c>
      <c r="T133" s="19">
        <v>21.6</v>
      </c>
      <c r="U133" s="20">
        <v>121.4</v>
      </c>
      <c r="V133" s="16" t="s">
        <v>11</v>
      </c>
      <c r="W133" s="21">
        <v>0</v>
      </c>
      <c r="X133" s="21">
        <v>0</v>
      </c>
      <c r="Y133" s="21">
        <v>0.38</v>
      </c>
      <c r="Z133" s="21">
        <v>0.57999999999999996</v>
      </c>
      <c r="AA133" s="21">
        <v>0.04</v>
      </c>
      <c r="AB133" s="21">
        <v>0</v>
      </c>
      <c r="AC133" s="21">
        <v>0</v>
      </c>
      <c r="AD133" s="21">
        <v>0</v>
      </c>
      <c r="AE133" s="21">
        <v>10.119999999999999</v>
      </c>
      <c r="AF133" s="21">
        <v>9.7799999999999994</v>
      </c>
      <c r="AG133" s="21">
        <v>13</v>
      </c>
      <c r="AH133" s="18" t="s">
        <v>34</v>
      </c>
      <c r="AI133" s="13" t="str">
        <f>VLOOKUP(AH133,'Hess and Brezowsky'!$B$2:$G$31,2,FALSE)</f>
        <v>Meridional</v>
      </c>
      <c r="AJ133" s="18" t="str">
        <f>VLOOKUP(AH133,'Hess and Brezowsky'!$B$2:$G$31,3,FALSE)</f>
        <v>A</v>
      </c>
      <c r="AK133" s="13" t="str">
        <f>VLOOKUP(AH133,'Hess and Brezowsky'!$B$2:$G$31,4,FALSE)</f>
        <v>Icelandic High, Ride Central Europe</v>
      </c>
      <c r="AL133" s="29">
        <v>0.26231481481481483</v>
      </c>
      <c r="AM133" s="29">
        <v>0.4838425925925926</v>
      </c>
      <c r="AN133" s="30">
        <v>0.70537037037037043</v>
      </c>
    </row>
    <row r="134" spans="1:40" ht="15.75" customHeight="1" x14ac:dyDescent="0.2">
      <c r="A134" s="27">
        <v>44854</v>
      </c>
      <c r="B134" s="13">
        <v>2022</v>
      </c>
      <c r="C134" s="13">
        <v>293</v>
      </c>
      <c r="D134" s="13">
        <f t="shared" si="5"/>
        <v>5</v>
      </c>
      <c r="E134" s="13"/>
      <c r="F134" s="13">
        <f t="shared" si="1"/>
        <v>3</v>
      </c>
      <c r="G134" s="14">
        <v>1</v>
      </c>
      <c r="H134" s="14">
        <v>0</v>
      </c>
      <c r="I134" s="14">
        <v>1</v>
      </c>
      <c r="J134" s="14">
        <v>0</v>
      </c>
      <c r="K134" s="14">
        <v>0</v>
      </c>
      <c r="L134" s="14">
        <v>0.95</v>
      </c>
      <c r="M134" s="15">
        <v>187.852</v>
      </c>
      <c r="N134" s="16" t="str">
        <f t="shared" si="6"/>
        <v>S</v>
      </c>
      <c r="O134" s="17">
        <v>8.4</v>
      </c>
      <c r="P134" s="16" t="s">
        <v>137</v>
      </c>
      <c r="Q134" s="18">
        <v>6.2</v>
      </c>
      <c r="R134" s="19">
        <v>17.61</v>
      </c>
      <c r="S134" s="19">
        <v>14.3</v>
      </c>
      <c r="T134" s="19">
        <v>22.7</v>
      </c>
      <c r="U134" s="20">
        <v>186.99</v>
      </c>
      <c r="V134" s="16" t="s">
        <v>13</v>
      </c>
      <c r="W134" s="21">
        <v>0</v>
      </c>
      <c r="X134" s="21">
        <v>0</v>
      </c>
      <c r="Y134" s="21">
        <v>0</v>
      </c>
      <c r="Z134" s="21">
        <v>0.04</v>
      </c>
      <c r="AA134" s="21">
        <v>0.83</v>
      </c>
      <c r="AB134" s="21">
        <v>0.12</v>
      </c>
      <c r="AC134" s="21">
        <v>0</v>
      </c>
      <c r="AD134" s="21">
        <v>0</v>
      </c>
      <c r="AE134" s="21">
        <v>8.3699999999999992</v>
      </c>
      <c r="AF134" s="21">
        <v>8.0399999999999991</v>
      </c>
      <c r="AG134" s="21">
        <v>19</v>
      </c>
      <c r="AH134" s="18" t="s">
        <v>34</v>
      </c>
      <c r="AI134" s="13" t="str">
        <f>VLOOKUP(AH134,'Hess and Brezowsky'!$B$2:$G$31,2,FALSE)</f>
        <v>Meridional</v>
      </c>
      <c r="AJ134" s="18" t="str">
        <f>VLOOKUP(AH134,'Hess and Brezowsky'!$B$2:$G$31,3,FALSE)</f>
        <v>A</v>
      </c>
      <c r="AK134" s="13" t="str">
        <f>VLOOKUP(AH134,'Hess and Brezowsky'!$B$2:$G$31,4,FALSE)</f>
        <v>Icelandic High, Ride Central Europe</v>
      </c>
      <c r="AL134" s="29">
        <v>0.26339120370370372</v>
      </c>
      <c r="AM134" s="29">
        <v>0.48371527777777779</v>
      </c>
      <c r="AN134" s="30">
        <v>0.70405092592592589</v>
      </c>
    </row>
    <row r="135" spans="1:40" ht="15.75" customHeight="1" x14ac:dyDescent="0.2">
      <c r="A135" s="27">
        <v>44855</v>
      </c>
      <c r="B135" s="13">
        <v>2022</v>
      </c>
      <c r="C135" s="13">
        <v>294</v>
      </c>
      <c r="D135" s="13">
        <f t="shared" si="5"/>
        <v>6</v>
      </c>
      <c r="E135" s="13"/>
      <c r="F135" s="13">
        <f t="shared" si="1"/>
        <v>3</v>
      </c>
      <c r="G135" s="14">
        <v>1</v>
      </c>
      <c r="H135" s="14">
        <v>0</v>
      </c>
      <c r="I135" s="14">
        <v>1</v>
      </c>
      <c r="J135" s="14">
        <v>0</v>
      </c>
      <c r="K135" s="14">
        <v>0</v>
      </c>
      <c r="L135" s="14">
        <v>0.95</v>
      </c>
      <c r="M135" s="15">
        <v>198.43799999999999</v>
      </c>
      <c r="N135" s="16" t="str">
        <f t="shared" si="6"/>
        <v>S</v>
      </c>
      <c r="O135" s="17">
        <v>9.1999999999999993</v>
      </c>
      <c r="P135" s="16" t="s">
        <v>137</v>
      </c>
      <c r="Q135" s="18">
        <v>10.1</v>
      </c>
      <c r="R135" s="19">
        <v>16.55</v>
      </c>
      <c r="S135" s="19">
        <v>13.7</v>
      </c>
      <c r="T135" s="19">
        <v>21</v>
      </c>
      <c r="U135" s="20">
        <v>197.66</v>
      </c>
      <c r="V135" s="16" t="s">
        <v>13</v>
      </c>
      <c r="W135" s="21">
        <v>0</v>
      </c>
      <c r="X135" s="21">
        <v>0</v>
      </c>
      <c r="Y135" s="21">
        <v>0</v>
      </c>
      <c r="Z135" s="21">
        <v>0</v>
      </c>
      <c r="AA135" s="21">
        <v>0.62</v>
      </c>
      <c r="AB135" s="21">
        <v>0.38</v>
      </c>
      <c r="AC135" s="21">
        <v>0</v>
      </c>
      <c r="AD135" s="21">
        <v>0</v>
      </c>
      <c r="AE135" s="21">
        <v>8.6300000000000008</v>
      </c>
      <c r="AF135" s="21">
        <v>8.39</v>
      </c>
      <c r="AG135" s="21">
        <v>14.9</v>
      </c>
      <c r="AH135" s="18" t="s">
        <v>12</v>
      </c>
      <c r="AI135" s="13" t="str">
        <f>VLOOKUP(AH135,'Hess and Brezowsky'!$B$2:$G$31,2,FALSE)</f>
        <v>Undefined</v>
      </c>
      <c r="AJ135" s="18" t="str">
        <f>VLOOKUP(AH135,'Hess and Brezowsky'!$B$2:$G$31,3,FALSE)</f>
        <v>M</v>
      </c>
      <c r="AK135" s="13" t="str">
        <f>VLOOKUP(AH135,'Hess and Brezowsky'!$B$2:$G$31,4,FALSE)</f>
        <v>Transistion / Undefined</v>
      </c>
      <c r="AL135" s="29">
        <v>0.26446759259259262</v>
      </c>
      <c r="AM135" s="29">
        <v>0.48359953703703706</v>
      </c>
      <c r="AN135" s="30">
        <v>0.70274305555555561</v>
      </c>
    </row>
    <row r="136" spans="1:40" ht="15.75" customHeight="1" x14ac:dyDescent="0.2">
      <c r="A136" s="27">
        <v>44856</v>
      </c>
      <c r="B136" s="13">
        <v>2022</v>
      </c>
      <c r="C136" s="13">
        <v>295</v>
      </c>
      <c r="D136" s="13">
        <f t="shared" si="5"/>
        <v>7</v>
      </c>
      <c r="E136" s="13"/>
      <c r="F136" s="13">
        <f t="shared" si="1"/>
        <v>3</v>
      </c>
      <c r="G136" s="14">
        <v>1</v>
      </c>
      <c r="H136" s="14">
        <v>0</v>
      </c>
      <c r="I136" s="14">
        <v>1</v>
      </c>
      <c r="J136" s="14">
        <v>0</v>
      </c>
      <c r="K136" s="14">
        <v>0</v>
      </c>
      <c r="L136" s="14">
        <v>1</v>
      </c>
      <c r="M136" s="15">
        <v>197.709</v>
      </c>
      <c r="N136" s="16" t="str">
        <f t="shared" si="6"/>
        <v>S</v>
      </c>
      <c r="O136" s="17">
        <v>7.9</v>
      </c>
      <c r="P136" s="16" t="s">
        <v>137</v>
      </c>
      <c r="Q136" s="18">
        <v>0.2</v>
      </c>
      <c r="R136" s="19">
        <v>16.46</v>
      </c>
      <c r="S136" s="19">
        <v>13.2</v>
      </c>
      <c r="T136" s="19">
        <v>21.9</v>
      </c>
      <c r="U136" s="20">
        <v>195.67</v>
      </c>
      <c r="V136" s="16" t="s">
        <v>13</v>
      </c>
      <c r="W136" s="21">
        <v>0</v>
      </c>
      <c r="X136" s="21">
        <v>0</v>
      </c>
      <c r="Y136" s="21">
        <v>0</v>
      </c>
      <c r="Z136" s="21">
        <v>0.04</v>
      </c>
      <c r="AA136" s="21">
        <v>0.54</v>
      </c>
      <c r="AB136" s="21">
        <v>0.42</v>
      </c>
      <c r="AC136" s="21">
        <v>0</v>
      </c>
      <c r="AD136" s="21">
        <v>0</v>
      </c>
      <c r="AE136" s="21">
        <v>7.69</v>
      </c>
      <c r="AF136" s="21">
        <v>6.88</v>
      </c>
      <c r="AG136" s="21">
        <v>15.5</v>
      </c>
      <c r="AH136" s="18" t="s">
        <v>33</v>
      </c>
      <c r="AI136" s="13" t="str">
        <f>VLOOKUP(AH136,'Hess and Brezowsky'!$B$2:$G$31,2,FALSE)</f>
        <v>Mixed</v>
      </c>
      <c r="AJ136" s="18" t="str">
        <f>VLOOKUP(AH136,'Hess and Brezowsky'!$B$2:$G$31,3,FALSE)</f>
        <v>C</v>
      </c>
      <c r="AK136" s="13" t="str">
        <f>VLOOKUP(AH136,'Hess and Brezowsky'!$B$2:$G$31,4,FALSE)</f>
        <v>Cyclonic South-Westerly</v>
      </c>
      <c r="AL136" s="29">
        <v>0.26555555555555554</v>
      </c>
      <c r="AM136" s="29">
        <v>0.48349537037037038</v>
      </c>
      <c r="AN136" s="30">
        <v>0.70144675925925926</v>
      </c>
    </row>
    <row r="137" spans="1:40" ht="15.75" customHeight="1" x14ac:dyDescent="0.2">
      <c r="A137" s="27">
        <v>44857</v>
      </c>
      <c r="B137" s="13">
        <v>2022</v>
      </c>
      <c r="C137" s="13">
        <v>296</v>
      </c>
      <c r="D137" s="13">
        <f t="shared" si="5"/>
        <v>1</v>
      </c>
      <c r="E137" s="13"/>
      <c r="F137" s="13">
        <f t="shared" si="1"/>
        <v>3</v>
      </c>
      <c r="G137" s="14">
        <v>1</v>
      </c>
      <c r="H137" s="14">
        <v>0</v>
      </c>
      <c r="I137" s="14">
        <v>1</v>
      </c>
      <c r="J137" s="14">
        <v>0</v>
      </c>
      <c r="K137" s="14">
        <v>0</v>
      </c>
      <c r="L137" s="14">
        <v>1</v>
      </c>
      <c r="M137" s="15">
        <v>185.761</v>
      </c>
      <c r="N137" s="16" t="str">
        <f t="shared" si="6"/>
        <v>S</v>
      </c>
      <c r="O137" s="17">
        <v>11.8</v>
      </c>
      <c r="P137" s="16" t="s">
        <v>137</v>
      </c>
      <c r="Q137" s="18">
        <v>0.2</v>
      </c>
      <c r="R137" s="19">
        <v>18.2</v>
      </c>
      <c r="S137" s="19">
        <v>15</v>
      </c>
      <c r="T137" s="19">
        <v>23.3</v>
      </c>
      <c r="U137" s="20">
        <v>182.93</v>
      </c>
      <c r="V137" s="16" t="s">
        <v>13</v>
      </c>
      <c r="W137" s="21">
        <v>0</v>
      </c>
      <c r="X137" s="21">
        <v>0</v>
      </c>
      <c r="Y137" s="21">
        <v>0</v>
      </c>
      <c r="Z137" s="21">
        <v>0.04</v>
      </c>
      <c r="AA137" s="21">
        <v>0.75</v>
      </c>
      <c r="AB137" s="21">
        <v>0.21</v>
      </c>
      <c r="AC137" s="21">
        <v>0</v>
      </c>
      <c r="AD137" s="21">
        <v>0</v>
      </c>
      <c r="AE137" s="21">
        <v>12.5</v>
      </c>
      <c r="AF137" s="21">
        <v>11.96</v>
      </c>
      <c r="AG137" s="21">
        <v>16.7</v>
      </c>
      <c r="AH137" s="18" t="s">
        <v>33</v>
      </c>
      <c r="AI137" s="13" t="str">
        <f>VLOOKUP(AH137,'Hess and Brezowsky'!$B$2:$G$31,2,FALSE)</f>
        <v>Mixed</v>
      </c>
      <c r="AJ137" s="18" t="str">
        <f>VLOOKUP(AH137,'Hess and Brezowsky'!$B$2:$G$31,3,FALSE)</f>
        <v>C</v>
      </c>
      <c r="AK137" s="13" t="str">
        <f>VLOOKUP(AH137,'Hess and Brezowsky'!$B$2:$G$31,4,FALSE)</f>
        <v>Cyclonic South-Westerly</v>
      </c>
      <c r="AL137" s="29">
        <v>0.26664351851851853</v>
      </c>
      <c r="AM137" s="29">
        <v>0.48340277777777779</v>
      </c>
      <c r="AN137" s="30">
        <v>0.70016203703703705</v>
      </c>
    </row>
    <row r="138" spans="1:40" ht="15.75" customHeight="1" x14ac:dyDescent="0.2">
      <c r="A138" s="27">
        <v>44858</v>
      </c>
      <c r="B138" s="13">
        <v>2022</v>
      </c>
      <c r="C138" s="13">
        <v>297</v>
      </c>
      <c r="D138" s="13">
        <f t="shared" si="5"/>
        <v>2</v>
      </c>
      <c r="E138" s="13"/>
      <c r="F138" s="13">
        <f t="shared" si="1"/>
        <v>3</v>
      </c>
      <c r="G138" s="14">
        <v>1</v>
      </c>
      <c r="H138" s="14">
        <v>0</v>
      </c>
      <c r="I138" s="14">
        <v>1</v>
      </c>
      <c r="J138" s="14">
        <v>0</v>
      </c>
      <c r="K138" s="14">
        <v>0</v>
      </c>
      <c r="L138" s="14">
        <v>1</v>
      </c>
      <c r="M138" s="15">
        <v>216.869</v>
      </c>
      <c r="N138" s="16" t="str">
        <f t="shared" si="6"/>
        <v>SW</v>
      </c>
      <c r="O138" s="17">
        <v>11.9</v>
      </c>
      <c r="P138" s="16" t="s">
        <v>137</v>
      </c>
      <c r="Q138" s="18">
        <v>0</v>
      </c>
      <c r="R138" s="19">
        <v>16.21</v>
      </c>
      <c r="S138" s="19">
        <v>14</v>
      </c>
      <c r="T138" s="19">
        <v>18.5</v>
      </c>
      <c r="U138" s="20">
        <v>213.73</v>
      </c>
      <c r="V138" s="16" t="s">
        <v>5</v>
      </c>
      <c r="W138" s="21">
        <v>0</v>
      </c>
      <c r="X138" s="21">
        <v>0</v>
      </c>
      <c r="Y138" s="21">
        <v>0</v>
      </c>
      <c r="Z138" s="21">
        <v>0</v>
      </c>
      <c r="AA138" s="21">
        <v>0.21</v>
      </c>
      <c r="AB138" s="21">
        <v>0.79</v>
      </c>
      <c r="AC138" s="21">
        <v>0</v>
      </c>
      <c r="AD138" s="21">
        <v>0</v>
      </c>
      <c r="AE138" s="21">
        <v>10.84</v>
      </c>
      <c r="AF138" s="21">
        <v>10.59</v>
      </c>
      <c r="AG138" s="21">
        <v>15.3</v>
      </c>
      <c r="AH138" s="18" t="s">
        <v>33</v>
      </c>
      <c r="AI138" s="13" t="str">
        <f>VLOOKUP(AH138,'Hess and Brezowsky'!$B$2:$G$31,2,FALSE)</f>
        <v>Mixed</v>
      </c>
      <c r="AJ138" s="18" t="str">
        <f>VLOOKUP(AH138,'Hess and Brezowsky'!$B$2:$G$31,3,FALSE)</f>
        <v>C</v>
      </c>
      <c r="AK138" s="13" t="str">
        <f>VLOOKUP(AH138,'Hess and Brezowsky'!$B$2:$G$31,4,FALSE)</f>
        <v>Cyclonic South-Westerly</v>
      </c>
      <c r="AL138" s="29">
        <v>0.26773148148148146</v>
      </c>
      <c r="AM138" s="29">
        <v>0.4833101851851852</v>
      </c>
      <c r="AN138" s="30">
        <v>0.69888888888888889</v>
      </c>
    </row>
    <row r="139" spans="1:40" ht="15.75" customHeight="1" x14ac:dyDescent="0.2">
      <c r="A139" s="27">
        <v>44859</v>
      </c>
      <c r="B139" s="13">
        <v>2022</v>
      </c>
      <c r="C139" s="13">
        <v>298</v>
      </c>
      <c r="D139" s="13">
        <f t="shared" si="5"/>
        <v>3</v>
      </c>
      <c r="E139" s="13"/>
      <c r="F139" s="13">
        <f t="shared" si="1"/>
        <v>3</v>
      </c>
      <c r="G139" s="14">
        <v>1</v>
      </c>
      <c r="H139" s="14">
        <v>0</v>
      </c>
      <c r="I139" s="14">
        <v>1</v>
      </c>
      <c r="J139" s="14">
        <v>0</v>
      </c>
      <c r="K139" s="14">
        <v>0</v>
      </c>
      <c r="L139" s="14">
        <v>1</v>
      </c>
      <c r="M139" s="15">
        <v>177.23599999999999</v>
      </c>
      <c r="N139" s="16" t="str">
        <f t="shared" si="6"/>
        <v>S</v>
      </c>
      <c r="O139" s="17">
        <v>7.5</v>
      </c>
      <c r="P139" s="16" t="s">
        <v>137</v>
      </c>
      <c r="Q139" s="18">
        <v>0.2</v>
      </c>
      <c r="R139" s="19">
        <v>15.76</v>
      </c>
      <c r="S139" s="19">
        <v>13.1</v>
      </c>
      <c r="T139" s="19">
        <v>18.600000000000001</v>
      </c>
      <c r="U139" s="20">
        <v>180.04</v>
      </c>
      <c r="V139" s="16" t="s">
        <v>13</v>
      </c>
      <c r="W139" s="21">
        <v>0</v>
      </c>
      <c r="X139" s="21">
        <v>0</v>
      </c>
      <c r="Y139" s="21">
        <v>0</v>
      </c>
      <c r="Z139" s="21">
        <v>0.38</v>
      </c>
      <c r="AA139" s="21">
        <v>0.21</v>
      </c>
      <c r="AB139" s="21">
        <v>0.42</v>
      </c>
      <c r="AC139" s="21">
        <v>0</v>
      </c>
      <c r="AD139" s="21">
        <v>0</v>
      </c>
      <c r="AE139" s="21">
        <v>7.56</v>
      </c>
      <c r="AF139" s="21">
        <v>5.6</v>
      </c>
      <c r="AG139" s="21">
        <v>13.5</v>
      </c>
      <c r="AH139" s="18" t="s">
        <v>33</v>
      </c>
      <c r="AI139" s="13" t="str">
        <f>VLOOKUP(AH139,'Hess and Brezowsky'!$B$2:$G$31,2,FALSE)</f>
        <v>Mixed</v>
      </c>
      <c r="AJ139" s="18" t="str">
        <f>VLOOKUP(AH139,'Hess and Brezowsky'!$B$2:$G$31,3,FALSE)</f>
        <v>C</v>
      </c>
      <c r="AK139" s="13" t="str">
        <f>VLOOKUP(AH139,'Hess and Brezowsky'!$B$2:$G$31,4,FALSE)</f>
        <v>Cyclonic South-Westerly</v>
      </c>
      <c r="AL139" s="29">
        <v>0.26881944444444444</v>
      </c>
      <c r="AM139" s="29">
        <v>0.48322916666666665</v>
      </c>
      <c r="AN139" s="30">
        <v>0.69763888888888892</v>
      </c>
    </row>
    <row r="140" spans="1:40" ht="15.75" customHeight="1" x14ac:dyDescent="0.2">
      <c r="A140" s="27">
        <v>44860</v>
      </c>
      <c r="B140" s="13">
        <v>2022</v>
      </c>
      <c r="C140" s="13">
        <v>299</v>
      </c>
      <c r="D140" s="13">
        <f t="shared" si="5"/>
        <v>4</v>
      </c>
      <c r="E140" s="13"/>
      <c r="F140" s="13">
        <f t="shared" si="1"/>
        <v>3</v>
      </c>
      <c r="G140" s="14">
        <v>1</v>
      </c>
      <c r="H140" s="14">
        <v>0</v>
      </c>
      <c r="I140" s="14">
        <v>0.57999999999999996</v>
      </c>
      <c r="J140" s="14">
        <v>0</v>
      </c>
      <c r="K140" s="14">
        <v>0</v>
      </c>
      <c r="L140" s="14">
        <v>1</v>
      </c>
      <c r="M140" s="15">
        <v>198.374</v>
      </c>
      <c r="N140" s="16" t="str">
        <f t="shared" si="6"/>
        <v>S</v>
      </c>
      <c r="O140" s="17">
        <v>8.9</v>
      </c>
      <c r="P140" s="16" t="s">
        <v>138</v>
      </c>
      <c r="Q140" s="18">
        <v>0</v>
      </c>
      <c r="R140" s="19">
        <v>17.05</v>
      </c>
      <c r="S140" s="19">
        <v>13.8</v>
      </c>
      <c r="T140" s="19">
        <v>22.3</v>
      </c>
      <c r="U140" s="20">
        <v>197.08</v>
      </c>
      <c r="V140" s="16" t="s">
        <v>13</v>
      </c>
      <c r="W140" s="21">
        <v>0</v>
      </c>
      <c r="X140" s="21">
        <v>0</v>
      </c>
      <c r="Y140" s="21">
        <v>0</v>
      </c>
      <c r="Z140" s="21">
        <v>0</v>
      </c>
      <c r="AA140" s="21">
        <v>0.42</v>
      </c>
      <c r="AB140" s="21">
        <v>0.57999999999999996</v>
      </c>
      <c r="AC140" s="21">
        <v>0</v>
      </c>
      <c r="AD140" s="21">
        <v>0</v>
      </c>
      <c r="AE140" s="21">
        <v>8.27</v>
      </c>
      <c r="AF140" s="21">
        <v>7.33</v>
      </c>
      <c r="AG140" s="21">
        <v>14</v>
      </c>
      <c r="AH140" s="18" t="s">
        <v>32</v>
      </c>
      <c r="AI140" s="13" t="str">
        <f>VLOOKUP(AH140,'Hess and Brezowsky'!$B$2:$G$31,2,FALSE)</f>
        <v>Mixed</v>
      </c>
      <c r="AJ140" s="18" t="str">
        <f>VLOOKUP(AH140,'Hess and Brezowsky'!$B$2:$G$31,3,FALSE)</f>
        <v>A</v>
      </c>
      <c r="AK140" s="13" t="str">
        <f>VLOOKUP(AH140,'Hess and Brezowsky'!$B$2:$G$31,4,FALSE)</f>
        <v>Anticyclonic South-Westerly</v>
      </c>
      <c r="AL140" s="29">
        <v>0.26991898148148147</v>
      </c>
      <c r="AM140" s="29">
        <v>0.4831597222222222</v>
      </c>
      <c r="AN140" s="30">
        <v>0.69640046296296299</v>
      </c>
    </row>
    <row r="141" spans="1:40" ht="15.75" customHeight="1" x14ac:dyDescent="0.2">
      <c r="A141" s="27">
        <v>44861</v>
      </c>
      <c r="B141" s="13">
        <v>2022</v>
      </c>
      <c r="C141" s="13">
        <v>300</v>
      </c>
      <c r="D141" s="13">
        <f t="shared" si="5"/>
        <v>5</v>
      </c>
      <c r="E141" s="13"/>
      <c r="F141" s="13">
        <f t="shared" si="1"/>
        <v>2</v>
      </c>
      <c r="G141" s="14">
        <v>1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5">
        <v>179.57599999999999</v>
      </c>
      <c r="N141" s="16" t="str">
        <f t="shared" si="6"/>
        <v>S</v>
      </c>
      <c r="O141" s="17">
        <v>10.3</v>
      </c>
      <c r="P141" s="16" t="s">
        <v>137</v>
      </c>
      <c r="Q141" s="18">
        <v>0.2</v>
      </c>
      <c r="R141" s="19">
        <v>17.53</v>
      </c>
      <c r="S141" s="19">
        <v>13.5</v>
      </c>
      <c r="T141" s="19">
        <v>23.1</v>
      </c>
      <c r="U141" s="20">
        <v>181.57</v>
      </c>
      <c r="V141" s="16" t="s">
        <v>13</v>
      </c>
      <c r="W141" s="21">
        <v>0</v>
      </c>
      <c r="X141" s="21">
        <v>0</v>
      </c>
      <c r="Y141" s="21">
        <v>0</v>
      </c>
      <c r="Z141" s="21">
        <v>0.08</v>
      </c>
      <c r="AA141" s="21">
        <v>0.88</v>
      </c>
      <c r="AB141" s="21">
        <v>0.04</v>
      </c>
      <c r="AC141" s="21">
        <v>0</v>
      </c>
      <c r="AD141" s="21">
        <v>0</v>
      </c>
      <c r="AE141" s="21">
        <v>11.32</v>
      </c>
      <c r="AF141" s="21">
        <v>10.97</v>
      </c>
      <c r="AG141" s="21">
        <v>15.5</v>
      </c>
      <c r="AH141" s="18" t="s">
        <v>32</v>
      </c>
      <c r="AI141" s="13" t="str">
        <f>VLOOKUP(AH141,'Hess and Brezowsky'!$B$2:$G$31,2,FALSE)</f>
        <v>Mixed</v>
      </c>
      <c r="AJ141" s="18" t="str">
        <f>VLOOKUP(AH141,'Hess and Brezowsky'!$B$2:$G$31,3,FALSE)</f>
        <v>A</v>
      </c>
      <c r="AK141" s="13" t="str">
        <f>VLOOKUP(AH141,'Hess and Brezowsky'!$B$2:$G$31,4,FALSE)</f>
        <v>Anticyclonic South-Westerly</v>
      </c>
      <c r="AL141" s="29">
        <v>0.27101851851851849</v>
      </c>
      <c r="AM141" s="29">
        <v>0.48310185185185184</v>
      </c>
      <c r="AN141" s="30">
        <v>0.69517361111111109</v>
      </c>
    </row>
    <row r="142" spans="1:40" ht="15.75" customHeight="1" x14ac:dyDescent="0.2">
      <c r="A142" s="27">
        <v>44862</v>
      </c>
      <c r="B142" s="13">
        <v>2022</v>
      </c>
      <c r="C142" s="13">
        <v>301</v>
      </c>
      <c r="D142" s="13">
        <f t="shared" si="5"/>
        <v>6</v>
      </c>
      <c r="E142" s="13"/>
      <c r="F142" s="13">
        <f t="shared" si="1"/>
        <v>2</v>
      </c>
      <c r="G142" s="14">
        <v>1</v>
      </c>
      <c r="H142" s="14">
        <v>0</v>
      </c>
      <c r="I142" s="14">
        <v>0.45</v>
      </c>
      <c r="J142" s="14">
        <v>0</v>
      </c>
      <c r="K142" s="14">
        <v>0</v>
      </c>
      <c r="L142" s="14">
        <v>1</v>
      </c>
      <c r="M142" s="15">
        <v>202.839</v>
      </c>
      <c r="N142" s="16" t="str">
        <f t="shared" si="6"/>
        <v>SW</v>
      </c>
      <c r="O142" s="17">
        <v>9.1</v>
      </c>
      <c r="P142" s="16" t="s">
        <v>137</v>
      </c>
      <c r="Q142" s="18">
        <v>0</v>
      </c>
      <c r="R142" s="19">
        <v>18.29</v>
      </c>
      <c r="S142" s="19">
        <v>15.5</v>
      </c>
      <c r="T142" s="19">
        <v>22.8</v>
      </c>
      <c r="U142" s="20">
        <v>200.84</v>
      </c>
      <c r="V142" s="16" t="s">
        <v>13</v>
      </c>
      <c r="W142" s="21">
        <v>0</v>
      </c>
      <c r="X142" s="21">
        <v>0</v>
      </c>
      <c r="Y142" s="21">
        <v>0</v>
      </c>
      <c r="Z142" s="21">
        <v>0</v>
      </c>
      <c r="AA142" s="21">
        <v>0.54</v>
      </c>
      <c r="AB142" s="21">
        <v>0.46</v>
      </c>
      <c r="AC142" s="21">
        <v>0</v>
      </c>
      <c r="AD142" s="21">
        <v>0</v>
      </c>
      <c r="AE142" s="21">
        <v>7.81</v>
      </c>
      <c r="AF142" s="21">
        <v>7.61</v>
      </c>
      <c r="AG142" s="21">
        <v>15.3</v>
      </c>
      <c r="AH142" s="18" t="s">
        <v>32</v>
      </c>
      <c r="AI142" s="13" t="str">
        <f>VLOOKUP(AH142,'Hess and Brezowsky'!$B$2:$G$31,2,FALSE)</f>
        <v>Mixed</v>
      </c>
      <c r="AJ142" s="18" t="str">
        <f>VLOOKUP(AH142,'Hess and Brezowsky'!$B$2:$G$31,3,FALSE)</f>
        <v>A</v>
      </c>
      <c r="AK142" s="13" t="str">
        <f>VLOOKUP(AH142,'Hess and Brezowsky'!$B$2:$G$31,4,FALSE)</f>
        <v>Anticyclonic South-Westerly</v>
      </c>
      <c r="AL142" s="29">
        <v>0.27212962962962961</v>
      </c>
      <c r="AM142" s="29">
        <v>0.48304398148148148</v>
      </c>
      <c r="AN142" s="30">
        <v>0.69395833333333334</v>
      </c>
    </row>
    <row r="143" spans="1:40" ht="15.75" customHeight="1" x14ac:dyDescent="0.2">
      <c r="A143" s="27">
        <v>44863</v>
      </c>
      <c r="B143" s="13">
        <v>2022</v>
      </c>
      <c r="C143" s="13">
        <v>302</v>
      </c>
      <c r="D143" s="13">
        <f t="shared" si="5"/>
        <v>7</v>
      </c>
      <c r="E143" s="13"/>
      <c r="F143" s="13">
        <f t="shared" si="1"/>
        <v>3</v>
      </c>
      <c r="G143" s="14">
        <v>1</v>
      </c>
      <c r="H143" s="14">
        <v>0</v>
      </c>
      <c r="I143" s="14">
        <v>1</v>
      </c>
      <c r="J143" s="14">
        <v>0</v>
      </c>
      <c r="K143" s="14">
        <v>0</v>
      </c>
      <c r="L143" s="14">
        <v>1</v>
      </c>
      <c r="M143" s="15">
        <v>198.90100000000001</v>
      </c>
      <c r="N143" s="16" t="str">
        <f t="shared" si="6"/>
        <v>S</v>
      </c>
      <c r="O143" s="17">
        <v>9.4</v>
      </c>
      <c r="P143" s="16" t="s">
        <v>137</v>
      </c>
      <c r="Q143" s="18">
        <v>0</v>
      </c>
      <c r="R143" s="19">
        <v>18.55</v>
      </c>
      <c r="S143" s="19">
        <v>15.5</v>
      </c>
      <c r="T143" s="19">
        <v>24.3</v>
      </c>
      <c r="U143" s="20">
        <v>194.68</v>
      </c>
      <c r="V143" s="16" t="s">
        <v>13</v>
      </c>
      <c r="W143" s="21">
        <v>0</v>
      </c>
      <c r="X143" s="21">
        <v>0</v>
      </c>
      <c r="Y143" s="21">
        <v>0</v>
      </c>
      <c r="Z143" s="21">
        <v>0</v>
      </c>
      <c r="AA143" s="21">
        <v>0.67</v>
      </c>
      <c r="AB143" s="21">
        <v>0.25</v>
      </c>
      <c r="AC143" s="21">
        <v>0.08</v>
      </c>
      <c r="AD143" s="21">
        <v>0</v>
      </c>
      <c r="AE143" s="21">
        <v>9.19</v>
      </c>
      <c r="AF143" s="21">
        <v>8.5</v>
      </c>
      <c r="AG143" s="21">
        <v>14.4</v>
      </c>
      <c r="AH143" s="18" t="s">
        <v>32</v>
      </c>
      <c r="AI143" s="13" t="str">
        <f>VLOOKUP(AH143,'Hess and Brezowsky'!$B$2:$G$31,2,FALSE)</f>
        <v>Mixed</v>
      </c>
      <c r="AJ143" s="18" t="str">
        <f>VLOOKUP(AH143,'Hess and Brezowsky'!$B$2:$G$31,3,FALSE)</f>
        <v>A</v>
      </c>
      <c r="AK143" s="13" t="str">
        <f>VLOOKUP(AH143,'Hess and Brezowsky'!$B$2:$G$31,4,FALSE)</f>
        <v>Anticyclonic South-Westerly</v>
      </c>
      <c r="AL143" s="29">
        <v>0.27322916666666669</v>
      </c>
      <c r="AM143" s="29">
        <v>0.48299768518518521</v>
      </c>
      <c r="AN143" s="30">
        <v>0.69276620370370368</v>
      </c>
    </row>
    <row r="144" spans="1:40" ht="15.75" customHeight="1" x14ac:dyDescent="0.2">
      <c r="A144" s="27">
        <v>44864</v>
      </c>
      <c r="B144" s="13">
        <v>2022</v>
      </c>
      <c r="C144" s="13">
        <v>303</v>
      </c>
      <c r="D144" s="13">
        <f t="shared" si="5"/>
        <v>1</v>
      </c>
      <c r="E144" s="13"/>
      <c r="F144" s="13">
        <f t="shared" si="1"/>
        <v>3</v>
      </c>
      <c r="G144" s="14">
        <v>1</v>
      </c>
      <c r="H144" s="14">
        <v>0</v>
      </c>
      <c r="I144" s="14">
        <v>1</v>
      </c>
      <c r="J144" s="14">
        <v>0</v>
      </c>
      <c r="K144" s="14">
        <v>0</v>
      </c>
      <c r="L144" s="14">
        <v>1</v>
      </c>
      <c r="M144" s="15">
        <v>216.922</v>
      </c>
      <c r="N144" s="16" t="str">
        <f t="shared" si="6"/>
        <v>SW</v>
      </c>
      <c r="O144" s="17">
        <v>5.0999999999999996</v>
      </c>
      <c r="P144" s="16" t="s">
        <v>137</v>
      </c>
      <c r="Q144" s="18">
        <v>0</v>
      </c>
      <c r="R144" s="19">
        <v>15.46</v>
      </c>
      <c r="S144" s="19">
        <v>13.1</v>
      </c>
      <c r="T144" s="19">
        <v>18.2</v>
      </c>
      <c r="U144" s="20">
        <v>212.92</v>
      </c>
      <c r="V144" s="16" t="s">
        <v>5</v>
      </c>
      <c r="W144" s="21">
        <v>0</v>
      </c>
      <c r="X144" s="21">
        <v>0</v>
      </c>
      <c r="Y144" s="21">
        <v>0</v>
      </c>
      <c r="Z144" s="21">
        <v>0.17</v>
      </c>
      <c r="AA144" s="21">
        <v>0.12</v>
      </c>
      <c r="AB144" s="21">
        <v>0.46</v>
      </c>
      <c r="AC144" s="21">
        <v>0.21</v>
      </c>
      <c r="AD144" s="21">
        <v>0.04</v>
      </c>
      <c r="AE144" s="21">
        <v>4.3499999999999996</v>
      </c>
      <c r="AF144" s="21">
        <v>2.97</v>
      </c>
      <c r="AG144" s="21">
        <v>9.6</v>
      </c>
      <c r="AH144" s="18" t="s">
        <v>32</v>
      </c>
      <c r="AI144" s="13" t="str">
        <f>VLOOKUP(AH144,'Hess and Brezowsky'!$B$2:$G$31,2,FALSE)</f>
        <v>Mixed</v>
      </c>
      <c r="AJ144" s="18" t="str">
        <f>VLOOKUP(AH144,'Hess and Brezowsky'!$B$2:$G$31,3,FALSE)</f>
        <v>A</v>
      </c>
      <c r="AK144" s="13" t="str">
        <f>VLOOKUP(AH144,'Hess and Brezowsky'!$B$2:$G$31,4,FALSE)</f>
        <v>Anticyclonic South-Westerly</v>
      </c>
      <c r="AL144" s="29">
        <v>0.27434027777777775</v>
      </c>
      <c r="AM144" s="29">
        <v>0.48296296296296298</v>
      </c>
      <c r="AN144" s="30">
        <v>0.6915972222222222</v>
      </c>
    </row>
    <row r="145" spans="1:40" ht="15.75" customHeight="1" x14ac:dyDescent="0.2">
      <c r="A145" s="27">
        <v>44865</v>
      </c>
      <c r="B145" s="13">
        <v>2022</v>
      </c>
      <c r="C145" s="13">
        <v>304</v>
      </c>
      <c r="D145" s="13">
        <f t="shared" si="5"/>
        <v>2</v>
      </c>
      <c r="E145" s="13"/>
      <c r="F145" s="13">
        <f t="shared" si="1"/>
        <v>3</v>
      </c>
      <c r="G145" s="14">
        <v>1</v>
      </c>
      <c r="H145" s="14">
        <v>0</v>
      </c>
      <c r="I145" s="14">
        <v>1</v>
      </c>
      <c r="J145" s="14">
        <v>0</v>
      </c>
      <c r="K145" s="14">
        <v>0</v>
      </c>
      <c r="L145" s="14">
        <v>1</v>
      </c>
      <c r="M145" s="15">
        <v>162.94900000000001</v>
      </c>
      <c r="N145" s="16" t="str">
        <f t="shared" si="6"/>
        <v>S</v>
      </c>
      <c r="O145" s="17">
        <v>8.1999999999999993</v>
      </c>
      <c r="P145" s="16" t="s">
        <v>137</v>
      </c>
      <c r="Q145" s="18">
        <v>2.2000000000000002</v>
      </c>
      <c r="R145" s="19">
        <v>16.149999999999999</v>
      </c>
      <c r="S145" s="19">
        <v>12.7</v>
      </c>
      <c r="T145" s="19">
        <v>20.5</v>
      </c>
      <c r="U145" s="20">
        <v>164.72</v>
      </c>
      <c r="V145" s="16" t="s">
        <v>13</v>
      </c>
      <c r="W145" s="21">
        <v>0</v>
      </c>
      <c r="X145" s="21">
        <v>0</v>
      </c>
      <c r="Y145" s="21">
        <v>0.08</v>
      </c>
      <c r="Z145" s="21">
        <v>0.33</v>
      </c>
      <c r="AA145" s="21">
        <v>0.46</v>
      </c>
      <c r="AB145" s="21">
        <v>0.12</v>
      </c>
      <c r="AC145" s="21">
        <v>0</v>
      </c>
      <c r="AD145" s="21">
        <v>0</v>
      </c>
      <c r="AE145" s="21">
        <v>8.7899999999999991</v>
      </c>
      <c r="AF145" s="21">
        <v>7.37</v>
      </c>
      <c r="AG145" s="21">
        <v>17.600000000000001</v>
      </c>
      <c r="AH145" s="18" t="s">
        <v>32</v>
      </c>
      <c r="AI145" s="13" t="str">
        <f>VLOOKUP(AH145,'Hess and Brezowsky'!$B$2:$G$31,2,FALSE)</f>
        <v>Mixed</v>
      </c>
      <c r="AJ145" s="18" t="str">
        <f>VLOOKUP(AH145,'Hess and Brezowsky'!$B$2:$G$31,3,FALSE)</f>
        <v>A</v>
      </c>
      <c r="AK145" s="13" t="str">
        <f>VLOOKUP(AH145,'Hess and Brezowsky'!$B$2:$G$31,4,FALSE)</f>
        <v>Anticyclonic South-Westerly</v>
      </c>
      <c r="AL145" s="29">
        <v>0.27545138888888887</v>
      </c>
      <c r="AM145" s="29">
        <v>0.48293981481481479</v>
      </c>
      <c r="AN145" s="30">
        <v>0.69042824074074072</v>
      </c>
    </row>
    <row r="146" spans="1:40" ht="15.75" customHeight="1" x14ac:dyDescent="0.2">
      <c r="A146" s="27">
        <v>44866</v>
      </c>
      <c r="B146" s="13">
        <v>2022</v>
      </c>
      <c r="C146" s="13">
        <v>305</v>
      </c>
      <c r="D146" s="13">
        <f t="shared" si="5"/>
        <v>3</v>
      </c>
      <c r="E146" s="13"/>
      <c r="F146" s="13">
        <f t="shared" si="1"/>
        <v>3</v>
      </c>
      <c r="G146" s="14">
        <v>1</v>
      </c>
      <c r="H146" s="14">
        <v>0</v>
      </c>
      <c r="I146" s="14">
        <v>1</v>
      </c>
      <c r="J146" s="14">
        <v>0</v>
      </c>
      <c r="K146" s="14">
        <v>0</v>
      </c>
      <c r="L146" s="14">
        <v>1</v>
      </c>
      <c r="M146" s="15">
        <v>217.607</v>
      </c>
      <c r="N146" s="16" t="str">
        <f t="shared" si="6"/>
        <v>SW</v>
      </c>
      <c r="O146" s="17">
        <v>11.7</v>
      </c>
      <c r="P146" s="16" t="s">
        <v>138</v>
      </c>
      <c r="Q146" s="18">
        <v>0.2</v>
      </c>
      <c r="R146" s="19">
        <v>14.21</v>
      </c>
      <c r="S146" s="19">
        <v>10.7</v>
      </c>
      <c r="T146" s="19">
        <v>16.899999999999999</v>
      </c>
      <c r="U146" s="20">
        <v>214.96</v>
      </c>
      <c r="V146" s="16" t="s">
        <v>5</v>
      </c>
      <c r="W146" s="21">
        <v>0</v>
      </c>
      <c r="X146" s="21">
        <v>0</v>
      </c>
      <c r="Y146" s="21">
        <v>0</v>
      </c>
      <c r="Z146" s="21">
        <v>0</v>
      </c>
      <c r="AA146" s="21">
        <v>0.25</v>
      </c>
      <c r="AB146" s="21">
        <v>0.75</v>
      </c>
      <c r="AC146" s="21">
        <v>0</v>
      </c>
      <c r="AD146" s="21">
        <v>0</v>
      </c>
      <c r="AE146" s="21">
        <v>10.46</v>
      </c>
      <c r="AF146" s="21">
        <v>10.07</v>
      </c>
      <c r="AG146" s="21">
        <v>15.5</v>
      </c>
      <c r="AH146" s="18" t="s">
        <v>32</v>
      </c>
      <c r="AI146" s="13" t="str">
        <f>VLOOKUP(AH146,'Hess and Brezowsky'!$B$2:$G$31,2,FALSE)</f>
        <v>Mixed</v>
      </c>
      <c r="AJ146" s="18" t="str">
        <f>VLOOKUP(AH146,'Hess and Brezowsky'!$B$2:$G$31,3,FALSE)</f>
        <v>A</v>
      </c>
      <c r="AK146" s="13" t="str">
        <f>VLOOKUP(AH146,'Hess and Brezowsky'!$B$2:$G$31,4,FALSE)</f>
        <v>Anticyclonic South-Westerly</v>
      </c>
      <c r="AL146" s="29">
        <v>0.27656249999999999</v>
      </c>
      <c r="AM146" s="29">
        <v>0.48292824074074076</v>
      </c>
      <c r="AN146" s="30">
        <v>0.68928240740740743</v>
      </c>
    </row>
    <row r="147" spans="1:40" ht="15.75" customHeight="1" x14ac:dyDescent="0.2">
      <c r="A147" s="27">
        <v>44867</v>
      </c>
      <c r="B147" s="13">
        <v>2022</v>
      </c>
      <c r="C147" s="13">
        <v>306</v>
      </c>
      <c r="D147" s="13">
        <f t="shared" si="5"/>
        <v>4</v>
      </c>
      <c r="E147" s="13"/>
      <c r="F147" s="13">
        <f t="shared" si="1"/>
        <v>3</v>
      </c>
      <c r="G147" s="14">
        <v>1</v>
      </c>
      <c r="H147" s="14">
        <v>0</v>
      </c>
      <c r="I147" s="14">
        <v>1</v>
      </c>
      <c r="J147" s="14">
        <v>0</v>
      </c>
      <c r="K147" s="14">
        <v>0</v>
      </c>
      <c r="L147" s="14">
        <v>1</v>
      </c>
      <c r="M147" s="15">
        <v>215.80699999999999</v>
      </c>
      <c r="N147" s="16" t="str">
        <f t="shared" si="6"/>
        <v>SW</v>
      </c>
      <c r="O147" s="17">
        <v>9.3000000000000007</v>
      </c>
      <c r="P147" s="16" t="s">
        <v>137</v>
      </c>
      <c r="Q147" s="18">
        <v>0.2</v>
      </c>
      <c r="R147" s="19">
        <v>12.42</v>
      </c>
      <c r="S147" s="19">
        <v>9.8000000000000007</v>
      </c>
      <c r="T147" s="19">
        <v>15.5</v>
      </c>
      <c r="U147" s="20">
        <v>218.78</v>
      </c>
      <c r="V147" s="16" t="s">
        <v>5</v>
      </c>
      <c r="W147" s="21">
        <v>0</v>
      </c>
      <c r="X147" s="21">
        <v>0</v>
      </c>
      <c r="Y147" s="21">
        <v>0</v>
      </c>
      <c r="Z147" s="21">
        <v>0</v>
      </c>
      <c r="AA147" s="21">
        <v>0.5</v>
      </c>
      <c r="AB147" s="21">
        <v>0.38</v>
      </c>
      <c r="AC147" s="21">
        <v>0.12</v>
      </c>
      <c r="AD147" s="21">
        <v>0</v>
      </c>
      <c r="AE147" s="21">
        <v>9.57</v>
      </c>
      <c r="AF147" s="21">
        <v>8.7899999999999991</v>
      </c>
      <c r="AG147" s="21">
        <v>13.8</v>
      </c>
      <c r="AH147" s="18" t="s">
        <v>32</v>
      </c>
      <c r="AI147" s="13" t="str">
        <f>VLOOKUP(AH147,'Hess and Brezowsky'!$B$2:$G$31,2,FALSE)</f>
        <v>Mixed</v>
      </c>
      <c r="AJ147" s="18" t="str">
        <f>VLOOKUP(AH147,'Hess and Brezowsky'!$B$2:$G$31,3,FALSE)</f>
        <v>A</v>
      </c>
      <c r="AK147" s="13" t="str">
        <f>VLOOKUP(AH147,'Hess and Brezowsky'!$B$2:$G$31,4,FALSE)</f>
        <v>Anticyclonic South-Westerly</v>
      </c>
      <c r="AL147" s="29">
        <v>0.27767361111111111</v>
      </c>
      <c r="AM147" s="29">
        <v>0.48291666666666666</v>
      </c>
      <c r="AN147" s="30">
        <v>0.68815972222222221</v>
      </c>
    </row>
    <row r="148" spans="1:40" ht="15.75" customHeight="1" x14ac:dyDescent="0.2">
      <c r="A148" s="27">
        <v>44868</v>
      </c>
      <c r="B148" s="13">
        <v>2022</v>
      </c>
      <c r="C148" s="13">
        <v>307</v>
      </c>
      <c r="D148" s="13">
        <f t="shared" si="5"/>
        <v>5</v>
      </c>
      <c r="E148" s="13"/>
      <c r="F148" s="13">
        <f t="shared" si="1"/>
        <v>3</v>
      </c>
      <c r="G148" s="14">
        <v>1</v>
      </c>
      <c r="H148" s="14">
        <v>0</v>
      </c>
      <c r="I148" s="14">
        <v>1</v>
      </c>
      <c r="J148" s="14">
        <v>0</v>
      </c>
      <c r="K148" s="14">
        <v>0</v>
      </c>
      <c r="L148" s="14">
        <v>1</v>
      </c>
      <c r="M148" s="15">
        <v>211.17599999999999</v>
      </c>
      <c r="N148" s="16" t="str">
        <f t="shared" si="6"/>
        <v>SW</v>
      </c>
      <c r="O148" s="17">
        <v>11.3</v>
      </c>
      <c r="P148" s="16" t="s">
        <v>140</v>
      </c>
      <c r="Q148" s="18">
        <v>4.2</v>
      </c>
      <c r="R148" s="19">
        <v>11.7</v>
      </c>
      <c r="S148" s="19">
        <v>9.1999999999999993</v>
      </c>
      <c r="T148" s="19">
        <v>14.8</v>
      </c>
      <c r="U148" s="20">
        <v>210.72</v>
      </c>
      <c r="V148" s="16" t="s">
        <v>5</v>
      </c>
      <c r="W148" s="21">
        <v>0</v>
      </c>
      <c r="X148" s="21">
        <v>0</v>
      </c>
      <c r="Y148" s="21">
        <v>0</v>
      </c>
      <c r="Z148" s="21">
        <v>0</v>
      </c>
      <c r="AA148" s="21">
        <v>0.5</v>
      </c>
      <c r="AB148" s="21">
        <v>0.38</v>
      </c>
      <c r="AC148" s="21">
        <v>0.12</v>
      </c>
      <c r="AD148" s="21">
        <v>0</v>
      </c>
      <c r="AE148" s="21">
        <v>11.7</v>
      </c>
      <c r="AF148" s="21">
        <v>10.56</v>
      </c>
      <c r="AG148" s="21">
        <v>15.2</v>
      </c>
      <c r="AH148" s="18" t="s">
        <v>32</v>
      </c>
      <c r="AI148" s="13" t="str">
        <f>VLOOKUP(AH148,'Hess and Brezowsky'!$B$2:$G$31,2,FALSE)</f>
        <v>Mixed</v>
      </c>
      <c r="AJ148" s="18" t="str">
        <f>VLOOKUP(AH148,'Hess and Brezowsky'!$B$2:$G$31,3,FALSE)</f>
        <v>A</v>
      </c>
      <c r="AK148" s="13" t="str">
        <f>VLOOKUP(AH148,'Hess and Brezowsky'!$B$2:$G$31,4,FALSE)</f>
        <v>Anticyclonic South-Westerly</v>
      </c>
      <c r="AL148" s="29">
        <v>0.27878472222222223</v>
      </c>
      <c r="AM148" s="29">
        <v>0.48291666666666666</v>
      </c>
      <c r="AN148" s="30">
        <v>0.68704861111111115</v>
      </c>
    </row>
    <row r="149" spans="1:40" ht="15.75" customHeight="1" x14ac:dyDescent="0.2">
      <c r="A149" s="27">
        <v>44869</v>
      </c>
      <c r="B149" s="13">
        <v>2022</v>
      </c>
      <c r="C149" s="13">
        <v>308</v>
      </c>
      <c r="D149" s="13">
        <f t="shared" si="5"/>
        <v>6</v>
      </c>
      <c r="E149" s="13"/>
      <c r="F149" s="13">
        <f t="shared" si="1"/>
        <v>3</v>
      </c>
      <c r="G149" s="14">
        <v>1</v>
      </c>
      <c r="H149" s="14">
        <v>0</v>
      </c>
      <c r="I149" s="14">
        <v>0.87</v>
      </c>
      <c r="J149" s="14">
        <v>0</v>
      </c>
      <c r="K149" s="14">
        <v>0</v>
      </c>
      <c r="L149" s="14">
        <v>1</v>
      </c>
      <c r="M149" s="15">
        <v>292.02600000000001</v>
      </c>
      <c r="N149" s="16" t="str">
        <f t="shared" si="6"/>
        <v>W</v>
      </c>
      <c r="O149" s="17">
        <v>8.6999999999999993</v>
      </c>
      <c r="P149" s="16" t="s">
        <v>137</v>
      </c>
      <c r="Q149" s="18">
        <v>1.8</v>
      </c>
      <c r="R149" s="19">
        <v>10.41</v>
      </c>
      <c r="S149" s="19">
        <v>7.6</v>
      </c>
      <c r="T149" s="19">
        <v>12.9</v>
      </c>
      <c r="U149" s="20">
        <v>288.38</v>
      </c>
      <c r="V149" s="16" t="s">
        <v>16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0.33</v>
      </c>
      <c r="AC149" s="21">
        <v>0.08</v>
      </c>
      <c r="AD149" s="21">
        <v>0.57999999999999996</v>
      </c>
      <c r="AE149" s="21">
        <v>8.7799999999999994</v>
      </c>
      <c r="AF149" s="21">
        <v>5.74</v>
      </c>
      <c r="AG149" s="21">
        <v>14</v>
      </c>
      <c r="AH149" s="18" t="s">
        <v>12</v>
      </c>
      <c r="AI149" s="13" t="str">
        <f>VLOOKUP(AH149,'Hess and Brezowsky'!$B$2:$G$31,2,FALSE)</f>
        <v>Undefined</v>
      </c>
      <c r="AJ149" s="18" t="str">
        <f>VLOOKUP(AH149,'Hess and Brezowsky'!$B$2:$G$31,3,FALSE)</f>
        <v>M</v>
      </c>
      <c r="AK149" s="13" t="str">
        <f>VLOOKUP(AH149,'Hess and Brezowsky'!$B$2:$G$31,4,FALSE)</f>
        <v>Transistion / Undefined</v>
      </c>
      <c r="AL149" s="29">
        <v>0.27990740740740738</v>
      </c>
      <c r="AM149" s="29">
        <v>0.48293981481481479</v>
      </c>
      <c r="AN149" s="30">
        <v>0.68596064814814817</v>
      </c>
    </row>
    <row r="150" spans="1:40" ht="15.75" customHeight="1" x14ac:dyDescent="0.2">
      <c r="A150" s="27">
        <v>44870</v>
      </c>
      <c r="B150" s="13">
        <v>2022</v>
      </c>
      <c r="C150" s="13">
        <v>309</v>
      </c>
      <c r="D150" s="13">
        <f t="shared" si="5"/>
        <v>7</v>
      </c>
      <c r="E150" s="13"/>
      <c r="F150" s="13">
        <f t="shared" si="1"/>
        <v>3</v>
      </c>
      <c r="G150" s="14">
        <v>1</v>
      </c>
      <c r="H150" s="14">
        <v>0</v>
      </c>
      <c r="I150" s="14">
        <v>1</v>
      </c>
      <c r="J150" s="14">
        <v>0</v>
      </c>
      <c r="K150" s="14">
        <v>0</v>
      </c>
      <c r="L150" s="14">
        <v>1</v>
      </c>
      <c r="M150" s="15">
        <v>234.053</v>
      </c>
      <c r="N150" s="16" t="str">
        <f t="shared" si="6"/>
        <v>SW</v>
      </c>
      <c r="O150" s="17">
        <v>7.2</v>
      </c>
      <c r="P150" s="16" t="s">
        <v>137</v>
      </c>
      <c r="Q150" s="18">
        <v>0</v>
      </c>
      <c r="R150" s="19">
        <v>9.2799999999999994</v>
      </c>
      <c r="S150" s="19">
        <v>6</v>
      </c>
      <c r="T150" s="19">
        <v>12.9</v>
      </c>
      <c r="U150" s="20">
        <v>234.27</v>
      </c>
      <c r="V150" s="16" t="s">
        <v>5</v>
      </c>
      <c r="W150" s="21">
        <v>0</v>
      </c>
      <c r="X150" s="21">
        <v>0</v>
      </c>
      <c r="Y150" s="21">
        <v>0</v>
      </c>
      <c r="Z150" s="21">
        <v>0</v>
      </c>
      <c r="AA150" s="21">
        <v>0.38</v>
      </c>
      <c r="AB150" s="21">
        <v>0.25</v>
      </c>
      <c r="AC150" s="21">
        <v>0.33</v>
      </c>
      <c r="AD150" s="21">
        <v>0.04</v>
      </c>
      <c r="AE150" s="21">
        <v>7.36</v>
      </c>
      <c r="AF150" s="21">
        <v>6.07</v>
      </c>
      <c r="AG150" s="21">
        <v>11</v>
      </c>
      <c r="AH150" s="18" t="s">
        <v>33</v>
      </c>
      <c r="AI150" s="13" t="str">
        <f>VLOOKUP(AH150,'Hess and Brezowsky'!$B$2:$G$31,2,FALSE)</f>
        <v>Mixed</v>
      </c>
      <c r="AJ150" s="18" t="str">
        <f>VLOOKUP(AH150,'Hess and Brezowsky'!$B$2:$G$31,3,FALSE)</f>
        <v>C</v>
      </c>
      <c r="AK150" s="13" t="str">
        <f>VLOOKUP(AH150,'Hess and Brezowsky'!$B$2:$G$31,4,FALSE)</f>
        <v>Cyclonic South-Westerly</v>
      </c>
      <c r="AL150" s="29">
        <v>0.2810185185185185</v>
      </c>
      <c r="AM150" s="29">
        <v>0.48296296296296298</v>
      </c>
      <c r="AN150" s="30">
        <v>0.68489583333333337</v>
      </c>
    </row>
    <row r="151" spans="1:40" ht="15.75" customHeight="1" x14ac:dyDescent="0.2">
      <c r="A151" s="27">
        <v>44871</v>
      </c>
      <c r="B151" s="13">
        <v>2022</v>
      </c>
      <c r="C151" s="13">
        <v>310</v>
      </c>
      <c r="D151" s="13">
        <f t="shared" si="5"/>
        <v>1</v>
      </c>
      <c r="E151" s="13"/>
      <c r="F151" s="13">
        <f t="shared" si="1"/>
        <v>3</v>
      </c>
      <c r="G151" s="14">
        <v>1</v>
      </c>
      <c r="H151" s="14">
        <v>0</v>
      </c>
      <c r="I151" s="14">
        <v>1</v>
      </c>
      <c r="J151" s="14">
        <v>0</v>
      </c>
      <c r="K151" s="14">
        <v>0</v>
      </c>
      <c r="L151" s="14">
        <v>1</v>
      </c>
      <c r="M151" s="15">
        <v>201.63800000000001</v>
      </c>
      <c r="N151" s="16" t="str">
        <f t="shared" si="6"/>
        <v>S</v>
      </c>
      <c r="O151" s="17">
        <v>10</v>
      </c>
      <c r="P151" s="16" t="s">
        <v>140</v>
      </c>
      <c r="Q151" s="18">
        <v>8.6999999999999993</v>
      </c>
      <c r="R151" s="19">
        <v>10.119999999999999</v>
      </c>
      <c r="S151" s="19">
        <v>9</v>
      </c>
      <c r="T151" s="19">
        <v>12.1</v>
      </c>
      <c r="U151" s="20">
        <v>202.6</v>
      </c>
      <c r="V151" s="16" t="s">
        <v>5</v>
      </c>
      <c r="W151" s="21">
        <v>0</v>
      </c>
      <c r="X151" s="21">
        <v>0</v>
      </c>
      <c r="Y151" s="21">
        <v>0</v>
      </c>
      <c r="Z151" s="21">
        <v>0</v>
      </c>
      <c r="AA151" s="21">
        <v>0.67</v>
      </c>
      <c r="AB151" s="21">
        <v>0.33</v>
      </c>
      <c r="AC151" s="21">
        <v>0</v>
      </c>
      <c r="AD151" s="21">
        <v>0</v>
      </c>
      <c r="AE151" s="21">
        <v>9.94</v>
      </c>
      <c r="AF151" s="21">
        <v>9.68</v>
      </c>
      <c r="AG151" s="21">
        <v>11.7</v>
      </c>
      <c r="AH151" s="18" t="s">
        <v>33</v>
      </c>
      <c r="AI151" s="13" t="str">
        <f>VLOOKUP(AH151,'Hess and Brezowsky'!$B$2:$G$31,2,FALSE)</f>
        <v>Mixed</v>
      </c>
      <c r="AJ151" s="18" t="str">
        <f>VLOOKUP(AH151,'Hess and Brezowsky'!$B$2:$G$31,3,FALSE)</f>
        <v>C</v>
      </c>
      <c r="AK151" s="13" t="str">
        <f>VLOOKUP(AH151,'Hess and Brezowsky'!$B$2:$G$31,4,FALSE)</f>
        <v>Cyclonic South-Westerly</v>
      </c>
      <c r="AL151" s="29">
        <v>0.28214120370370371</v>
      </c>
      <c r="AM151" s="29">
        <v>0.48298611111111112</v>
      </c>
      <c r="AN151" s="30">
        <v>0.68384259259259261</v>
      </c>
    </row>
    <row r="152" spans="1:40" ht="15.75" customHeight="1" x14ac:dyDescent="0.2">
      <c r="A152" s="27">
        <v>44872</v>
      </c>
      <c r="B152" s="13">
        <v>2022</v>
      </c>
      <c r="C152" s="13">
        <v>311</v>
      </c>
      <c r="D152" s="13">
        <f t="shared" si="5"/>
        <v>2</v>
      </c>
      <c r="E152" s="13"/>
      <c r="F152" s="13">
        <f t="shared" si="1"/>
        <v>3</v>
      </c>
      <c r="G152" s="14">
        <v>1</v>
      </c>
      <c r="H152" s="14">
        <v>0</v>
      </c>
      <c r="I152" s="14">
        <v>0.95</v>
      </c>
      <c r="J152" s="14">
        <v>0</v>
      </c>
      <c r="K152" s="14">
        <v>0</v>
      </c>
      <c r="L152" s="14">
        <v>1</v>
      </c>
      <c r="M152" s="15">
        <v>206.47499999999999</v>
      </c>
      <c r="N152" s="16" t="str">
        <f t="shared" si="6"/>
        <v>SW</v>
      </c>
      <c r="O152" s="17">
        <v>11.1</v>
      </c>
      <c r="P152" s="16" t="s">
        <v>137</v>
      </c>
      <c r="Q152" s="18">
        <v>0</v>
      </c>
      <c r="R152" s="19">
        <v>13.26</v>
      </c>
      <c r="S152" s="19">
        <v>10.5</v>
      </c>
      <c r="T152" s="19">
        <v>16.5</v>
      </c>
      <c r="U152" s="20">
        <v>202.95</v>
      </c>
      <c r="V152" s="16" t="s">
        <v>5</v>
      </c>
      <c r="W152" s="21">
        <v>0</v>
      </c>
      <c r="X152" s="21">
        <v>0</v>
      </c>
      <c r="Y152" s="21">
        <v>0</v>
      </c>
      <c r="Z152" s="21">
        <v>0</v>
      </c>
      <c r="AA152" s="21">
        <v>0.38</v>
      </c>
      <c r="AB152" s="21">
        <v>0.62</v>
      </c>
      <c r="AC152" s="21">
        <v>0</v>
      </c>
      <c r="AD152" s="21">
        <v>0</v>
      </c>
      <c r="AE152" s="21">
        <v>10.37</v>
      </c>
      <c r="AF152" s="21">
        <v>10.119999999999999</v>
      </c>
      <c r="AG152" s="21">
        <v>16.399999999999999</v>
      </c>
      <c r="AH152" s="18" t="s">
        <v>33</v>
      </c>
      <c r="AI152" s="13" t="str">
        <f>VLOOKUP(AH152,'Hess and Brezowsky'!$B$2:$G$31,2,FALSE)</f>
        <v>Mixed</v>
      </c>
      <c r="AJ152" s="18" t="str">
        <f>VLOOKUP(AH152,'Hess and Brezowsky'!$B$2:$G$31,3,FALSE)</f>
        <v>C</v>
      </c>
      <c r="AK152" s="13" t="str">
        <f>VLOOKUP(AH152,'Hess and Brezowsky'!$B$2:$G$31,4,FALSE)</f>
        <v>Cyclonic South-Westerly</v>
      </c>
      <c r="AL152" s="29">
        <v>0.28325231481481483</v>
      </c>
      <c r="AM152" s="29">
        <v>0.48303240740740738</v>
      </c>
      <c r="AN152" s="30">
        <v>0.68281250000000004</v>
      </c>
    </row>
    <row r="153" spans="1:40" ht="15.75" customHeight="1" x14ac:dyDescent="0.2">
      <c r="A153" s="27">
        <v>44873</v>
      </c>
      <c r="B153" s="13">
        <v>2022</v>
      </c>
      <c r="C153" s="13">
        <v>312</v>
      </c>
      <c r="D153" s="13">
        <f t="shared" si="5"/>
        <v>3</v>
      </c>
      <c r="E153" s="13"/>
      <c r="F153" s="13">
        <f t="shared" si="1"/>
        <v>3</v>
      </c>
      <c r="G153" s="14">
        <v>1</v>
      </c>
      <c r="H153" s="14">
        <v>0</v>
      </c>
      <c r="I153" s="14">
        <v>0.83</v>
      </c>
      <c r="J153" s="14">
        <v>0</v>
      </c>
      <c r="K153" s="14">
        <v>0</v>
      </c>
      <c r="L153" s="14">
        <v>1</v>
      </c>
      <c r="M153" s="15">
        <v>202.494</v>
      </c>
      <c r="N153" s="16" t="str">
        <f t="shared" si="6"/>
        <v>S</v>
      </c>
      <c r="O153" s="17">
        <v>12.5</v>
      </c>
      <c r="P153" s="16" t="s">
        <v>137</v>
      </c>
      <c r="Q153" s="18">
        <v>0.2</v>
      </c>
      <c r="R153" s="19">
        <v>13.44</v>
      </c>
      <c r="S153" s="19">
        <v>9.6999999999999993</v>
      </c>
      <c r="T153" s="19">
        <v>17.399999999999999</v>
      </c>
      <c r="U153" s="20">
        <v>198.4</v>
      </c>
      <c r="V153" s="16" t="s">
        <v>13</v>
      </c>
      <c r="W153" s="21">
        <v>0</v>
      </c>
      <c r="X153" s="21">
        <v>0</v>
      </c>
      <c r="Y153" s="21">
        <v>0</v>
      </c>
      <c r="Z153" s="21">
        <v>0</v>
      </c>
      <c r="AA153" s="21">
        <v>0.79</v>
      </c>
      <c r="AB153" s="21">
        <v>0.21</v>
      </c>
      <c r="AC153" s="21">
        <v>0</v>
      </c>
      <c r="AD153" s="21">
        <v>0</v>
      </c>
      <c r="AE153" s="21">
        <v>12.38</v>
      </c>
      <c r="AF153" s="21">
        <v>12.3</v>
      </c>
      <c r="AG153" s="21">
        <v>16.100000000000001</v>
      </c>
      <c r="AH153" s="18" t="s">
        <v>33</v>
      </c>
      <c r="AI153" s="13" t="str">
        <f>VLOOKUP(AH153,'Hess and Brezowsky'!$B$2:$G$31,2,FALSE)</f>
        <v>Mixed</v>
      </c>
      <c r="AJ153" s="18" t="str">
        <f>VLOOKUP(AH153,'Hess and Brezowsky'!$B$2:$G$31,3,FALSE)</f>
        <v>C</v>
      </c>
      <c r="AK153" s="13" t="str">
        <f>VLOOKUP(AH153,'Hess and Brezowsky'!$B$2:$G$31,4,FALSE)</f>
        <v>Cyclonic South-Westerly</v>
      </c>
      <c r="AL153" s="29">
        <v>0.28436342592592595</v>
      </c>
      <c r="AM153" s="29">
        <v>0.4830902777777778</v>
      </c>
      <c r="AN153" s="30">
        <v>0.68180555555555555</v>
      </c>
    </row>
    <row r="154" spans="1:40" ht="15.75" customHeight="1" x14ac:dyDescent="0.2">
      <c r="A154" s="27">
        <v>44874</v>
      </c>
      <c r="B154" s="13">
        <v>2022</v>
      </c>
      <c r="C154" s="13">
        <v>313</v>
      </c>
      <c r="D154" s="13">
        <f t="shared" si="5"/>
        <v>4</v>
      </c>
      <c r="E154" s="13"/>
      <c r="F154" s="13">
        <f t="shared" si="1"/>
        <v>3</v>
      </c>
      <c r="G154" s="14">
        <v>1</v>
      </c>
      <c r="H154" s="14">
        <v>0</v>
      </c>
      <c r="I154" s="14">
        <v>1</v>
      </c>
      <c r="J154" s="14">
        <v>0</v>
      </c>
      <c r="K154" s="14">
        <v>0</v>
      </c>
      <c r="L154" s="14">
        <v>1</v>
      </c>
      <c r="M154" s="15">
        <v>238.399</v>
      </c>
      <c r="N154" s="16" t="str">
        <f t="shared" si="6"/>
        <v>SW</v>
      </c>
      <c r="O154" s="17">
        <v>9.1999999999999993</v>
      </c>
      <c r="P154" s="16" t="s">
        <v>137</v>
      </c>
      <c r="Q154" s="18">
        <v>0.6</v>
      </c>
      <c r="R154" s="19">
        <v>12.07</v>
      </c>
      <c r="S154" s="19">
        <v>8.4</v>
      </c>
      <c r="T154" s="19">
        <v>15.6</v>
      </c>
      <c r="U154" s="20">
        <v>239.82</v>
      </c>
      <c r="V154" s="16" t="s">
        <v>5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0.57999999999999996</v>
      </c>
      <c r="AC154" s="21">
        <v>0.42</v>
      </c>
      <c r="AD154" s="21">
        <v>0</v>
      </c>
      <c r="AE154" s="21">
        <v>8.65</v>
      </c>
      <c r="AF154" s="21">
        <v>8.14</v>
      </c>
      <c r="AG154" s="21">
        <v>11.6</v>
      </c>
      <c r="AH154" s="18" t="s">
        <v>33</v>
      </c>
      <c r="AI154" s="13" t="str">
        <f>VLOOKUP(AH154,'Hess and Brezowsky'!$B$2:$G$31,2,FALSE)</f>
        <v>Mixed</v>
      </c>
      <c r="AJ154" s="18" t="str">
        <f>VLOOKUP(AH154,'Hess and Brezowsky'!$B$2:$G$31,3,FALSE)</f>
        <v>C</v>
      </c>
      <c r="AK154" s="13" t="str">
        <f>VLOOKUP(AH154,'Hess and Brezowsky'!$B$2:$G$31,4,FALSE)</f>
        <v>Cyclonic South-Westerly</v>
      </c>
      <c r="AL154" s="29">
        <v>0.28547453703703701</v>
      </c>
      <c r="AM154" s="29">
        <v>0.48314814814814816</v>
      </c>
      <c r="AN154" s="30">
        <v>0.68082175925925925</v>
      </c>
    </row>
    <row r="155" spans="1:40" ht="15.75" customHeight="1" x14ac:dyDescent="0.2">
      <c r="A155" s="27">
        <v>44875</v>
      </c>
      <c r="B155" s="13">
        <v>2022</v>
      </c>
      <c r="C155" s="13">
        <v>314</v>
      </c>
      <c r="D155" s="13">
        <f t="shared" si="5"/>
        <v>5</v>
      </c>
      <c r="E155" s="13"/>
      <c r="F155" s="13">
        <f t="shared" si="1"/>
        <v>3</v>
      </c>
      <c r="G155" s="14">
        <v>1</v>
      </c>
      <c r="H155" s="14">
        <v>0</v>
      </c>
      <c r="I155" s="14">
        <v>1</v>
      </c>
      <c r="J155" s="14">
        <v>0</v>
      </c>
      <c r="K155" s="14">
        <v>0</v>
      </c>
      <c r="L155" s="14">
        <v>1</v>
      </c>
      <c r="M155" s="15">
        <v>218.733</v>
      </c>
      <c r="N155" s="16" t="str">
        <f t="shared" si="6"/>
        <v>SW</v>
      </c>
      <c r="O155" s="17">
        <v>6.1</v>
      </c>
      <c r="P155" s="16" t="s">
        <v>137</v>
      </c>
      <c r="Q155" s="18">
        <v>0.2</v>
      </c>
      <c r="R155" s="19">
        <v>9.25</v>
      </c>
      <c r="S155" s="19">
        <v>6.7</v>
      </c>
      <c r="T155" s="19">
        <v>11.3</v>
      </c>
      <c r="U155" s="20">
        <v>216.24</v>
      </c>
      <c r="V155" s="16" t="s">
        <v>5</v>
      </c>
      <c r="W155" s="21">
        <v>0</v>
      </c>
      <c r="X155" s="21">
        <v>0</v>
      </c>
      <c r="Y155" s="21">
        <v>0</v>
      </c>
      <c r="Z155" s="21">
        <v>0</v>
      </c>
      <c r="AA155" s="21">
        <v>0.46</v>
      </c>
      <c r="AB155" s="21">
        <v>0.42</v>
      </c>
      <c r="AC155" s="21">
        <v>0.12</v>
      </c>
      <c r="AD155" s="21">
        <v>0</v>
      </c>
      <c r="AE155" s="21">
        <v>5.8</v>
      </c>
      <c r="AF155" s="21">
        <v>4.9400000000000004</v>
      </c>
      <c r="AG155" s="21">
        <v>9.1</v>
      </c>
      <c r="AH155" s="18" t="s">
        <v>32</v>
      </c>
      <c r="AI155" s="13" t="str">
        <f>VLOOKUP(AH155,'Hess and Brezowsky'!$B$2:$G$31,2,FALSE)</f>
        <v>Mixed</v>
      </c>
      <c r="AJ155" s="18" t="str">
        <f>VLOOKUP(AH155,'Hess and Brezowsky'!$B$2:$G$31,3,FALSE)</f>
        <v>A</v>
      </c>
      <c r="AK155" s="13" t="str">
        <f>VLOOKUP(AH155,'Hess and Brezowsky'!$B$2:$G$31,4,FALSE)</f>
        <v>Anticyclonic South-Westerly</v>
      </c>
      <c r="AL155" s="29">
        <v>0.28658564814814813</v>
      </c>
      <c r="AM155" s="29">
        <v>0.48321759259259262</v>
      </c>
      <c r="AN155" s="30">
        <v>0.67984953703703699</v>
      </c>
    </row>
    <row r="156" spans="1:40" ht="15.75" customHeight="1" x14ac:dyDescent="0.2">
      <c r="A156" s="27">
        <v>44876</v>
      </c>
      <c r="B156" s="13">
        <v>2022</v>
      </c>
      <c r="C156" s="13">
        <v>315</v>
      </c>
      <c r="D156" s="13">
        <f t="shared" si="5"/>
        <v>6</v>
      </c>
      <c r="E156" s="13"/>
      <c r="F156" s="13">
        <f t="shared" si="1"/>
        <v>3</v>
      </c>
      <c r="G156" s="14">
        <v>1</v>
      </c>
      <c r="H156" s="14">
        <v>0</v>
      </c>
      <c r="I156" s="14">
        <v>0.62</v>
      </c>
      <c r="J156" s="14">
        <v>0</v>
      </c>
      <c r="K156" s="14">
        <v>0</v>
      </c>
      <c r="L156" s="14">
        <v>1</v>
      </c>
      <c r="M156" s="15">
        <v>155.04599999999999</v>
      </c>
      <c r="N156" s="16" t="str">
        <f t="shared" si="6"/>
        <v>SE</v>
      </c>
      <c r="O156" s="17">
        <v>5.6</v>
      </c>
      <c r="P156" s="16" t="s">
        <v>137</v>
      </c>
      <c r="Q156" s="18">
        <v>0</v>
      </c>
      <c r="R156" s="19">
        <v>10.130000000000001</v>
      </c>
      <c r="S156" s="19">
        <v>8.8000000000000007</v>
      </c>
      <c r="T156" s="19">
        <v>12.7</v>
      </c>
      <c r="U156" s="20">
        <v>157.41</v>
      </c>
      <c r="V156" s="16" t="s">
        <v>11</v>
      </c>
      <c r="W156" s="21">
        <v>0</v>
      </c>
      <c r="X156" s="21">
        <v>0</v>
      </c>
      <c r="Y156" s="21">
        <v>0</v>
      </c>
      <c r="Z156" s="21">
        <v>0.46</v>
      </c>
      <c r="AA156" s="21">
        <v>0.54</v>
      </c>
      <c r="AB156" s="21">
        <v>0</v>
      </c>
      <c r="AC156" s="21">
        <v>0</v>
      </c>
      <c r="AD156" s="21">
        <v>0</v>
      </c>
      <c r="AE156" s="21">
        <v>5.69</v>
      </c>
      <c r="AF156" s="21">
        <v>5.61</v>
      </c>
      <c r="AG156" s="21">
        <v>10.7</v>
      </c>
      <c r="AH156" s="18" t="s">
        <v>32</v>
      </c>
      <c r="AI156" s="13" t="str">
        <f>VLOOKUP(AH156,'Hess and Brezowsky'!$B$2:$G$31,2,FALSE)</f>
        <v>Mixed</v>
      </c>
      <c r="AJ156" s="18" t="str">
        <f>VLOOKUP(AH156,'Hess and Brezowsky'!$B$2:$G$31,3,FALSE)</f>
        <v>A</v>
      </c>
      <c r="AK156" s="13" t="str">
        <f>VLOOKUP(AH156,'Hess and Brezowsky'!$B$2:$G$31,4,FALSE)</f>
        <v>Anticyclonic South-Westerly</v>
      </c>
      <c r="AL156" s="29">
        <v>0.28769675925925925</v>
      </c>
      <c r="AM156" s="29">
        <v>0.48329861111111111</v>
      </c>
      <c r="AN156" s="30">
        <v>0.67891203703703706</v>
      </c>
    </row>
    <row r="157" spans="1:40" ht="15.75" customHeight="1" x14ac:dyDescent="0.2">
      <c r="A157" s="27">
        <v>44877</v>
      </c>
      <c r="B157" s="13">
        <v>2022</v>
      </c>
      <c r="C157" s="13">
        <v>316</v>
      </c>
      <c r="D157" s="13">
        <f t="shared" si="5"/>
        <v>7</v>
      </c>
      <c r="E157" s="13"/>
      <c r="F157" s="13">
        <f t="shared" si="1"/>
        <v>2</v>
      </c>
      <c r="G157" s="14">
        <v>1</v>
      </c>
      <c r="H157" s="14">
        <v>0</v>
      </c>
      <c r="I157" s="14">
        <v>0.25</v>
      </c>
      <c r="J157" s="14">
        <v>0</v>
      </c>
      <c r="K157" s="14">
        <v>0</v>
      </c>
      <c r="L157" s="14">
        <v>0.83</v>
      </c>
      <c r="M157" s="15">
        <v>147.37299999999999</v>
      </c>
      <c r="N157" s="16" t="str">
        <f t="shared" si="6"/>
        <v>SE</v>
      </c>
      <c r="O157" s="17">
        <v>5</v>
      </c>
      <c r="P157" s="16" t="s">
        <v>137</v>
      </c>
      <c r="Q157" s="18">
        <v>0.4</v>
      </c>
      <c r="R157" s="19">
        <v>10.71</v>
      </c>
      <c r="S157" s="19">
        <v>7.5</v>
      </c>
      <c r="T157" s="19">
        <v>14.9</v>
      </c>
      <c r="U157" s="20">
        <v>145.57</v>
      </c>
      <c r="V157" s="16" t="s">
        <v>11</v>
      </c>
      <c r="W157" s="21">
        <v>0</v>
      </c>
      <c r="X157" s="21">
        <v>0</v>
      </c>
      <c r="Y157" s="21">
        <v>0.04</v>
      </c>
      <c r="Z157" s="21">
        <v>0.67</v>
      </c>
      <c r="AA157" s="21">
        <v>0.28999999999999998</v>
      </c>
      <c r="AB157" s="21">
        <v>0</v>
      </c>
      <c r="AC157" s="21">
        <v>0</v>
      </c>
      <c r="AD157" s="21">
        <v>0</v>
      </c>
      <c r="AE157" s="21">
        <v>4.8899999999999997</v>
      </c>
      <c r="AF157" s="21">
        <v>4.63</v>
      </c>
      <c r="AG157" s="21">
        <v>8.6</v>
      </c>
      <c r="AH157" s="18" t="s">
        <v>32</v>
      </c>
      <c r="AI157" s="13" t="str">
        <f>VLOOKUP(AH157,'Hess and Brezowsky'!$B$2:$G$31,2,FALSE)</f>
        <v>Mixed</v>
      </c>
      <c r="AJ157" s="18" t="str">
        <f>VLOOKUP(AH157,'Hess and Brezowsky'!$B$2:$G$31,3,FALSE)</f>
        <v>A</v>
      </c>
      <c r="AK157" s="13" t="str">
        <f>VLOOKUP(AH157,'Hess and Brezowsky'!$B$2:$G$31,4,FALSE)</f>
        <v>Anticyclonic South-Westerly</v>
      </c>
      <c r="AL157" s="29">
        <v>0.28879629629629627</v>
      </c>
      <c r="AM157" s="29">
        <v>0.4833912037037037</v>
      </c>
      <c r="AN157" s="30">
        <v>0.67798611111111107</v>
      </c>
    </row>
    <row r="158" spans="1:40" ht="15.75" customHeight="1" x14ac:dyDescent="0.2">
      <c r="A158" s="27">
        <v>44878</v>
      </c>
      <c r="B158" s="13">
        <v>2022</v>
      </c>
      <c r="C158" s="13">
        <v>317</v>
      </c>
      <c r="D158" s="13">
        <f t="shared" si="5"/>
        <v>1</v>
      </c>
      <c r="E158" s="13"/>
      <c r="F158" s="13">
        <f t="shared" si="1"/>
        <v>3</v>
      </c>
      <c r="G158" s="14">
        <v>0.95</v>
      </c>
      <c r="H158" s="14">
        <v>0</v>
      </c>
      <c r="I158" s="14">
        <v>0.62</v>
      </c>
      <c r="J158" s="14">
        <v>0</v>
      </c>
      <c r="K158" s="14">
        <v>0</v>
      </c>
      <c r="L158" s="14">
        <v>0.75</v>
      </c>
      <c r="M158" s="15">
        <v>123.819</v>
      </c>
      <c r="N158" s="16" t="str">
        <f t="shared" si="6"/>
        <v>SE</v>
      </c>
      <c r="O158" s="17">
        <v>4</v>
      </c>
      <c r="P158" s="16" t="s">
        <v>138</v>
      </c>
      <c r="Q158" s="18">
        <v>0.2</v>
      </c>
      <c r="R158" s="19">
        <v>9.9499999999999993</v>
      </c>
      <c r="S158" s="19">
        <v>6.4</v>
      </c>
      <c r="T158" s="19">
        <v>14.7</v>
      </c>
      <c r="U158" s="20">
        <v>118.59</v>
      </c>
      <c r="V158" s="16" t="s">
        <v>11</v>
      </c>
      <c r="W158" s="21">
        <v>0</v>
      </c>
      <c r="X158" s="21">
        <v>0</v>
      </c>
      <c r="Y158" s="21">
        <v>0.33</v>
      </c>
      <c r="Z158" s="21">
        <v>0.67</v>
      </c>
      <c r="AA158" s="21">
        <v>0</v>
      </c>
      <c r="AB158" s="21">
        <v>0</v>
      </c>
      <c r="AC158" s="21">
        <v>0</v>
      </c>
      <c r="AD158" s="21">
        <v>0</v>
      </c>
      <c r="AE158" s="21">
        <v>3.39</v>
      </c>
      <c r="AF158" s="21">
        <v>3.24</v>
      </c>
      <c r="AG158" s="21">
        <v>6.5</v>
      </c>
      <c r="AH158" s="18" t="s">
        <v>35</v>
      </c>
      <c r="AI158" s="13" t="str">
        <f>VLOOKUP(AH158,'Hess and Brezowsky'!$B$2:$G$31,2,FALSE)</f>
        <v>Meridional</v>
      </c>
      <c r="AJ158" s="18" t="str">
        <f>VLOOKUP(AH158,'Hess and Brezowsky'!$B$2:$G$31,3,FALSE)</f>
        <v>A</v>
      </c>
      <c r="AK158" s="13" t="str">
        <f>VLOOKUP(AH158,'Hess and Brezowsky'!$B$2:$G$31,4,FALSE)</f>
        <v>Anticyclonic Southerly</v>
      </c>
      <c r="AL158" s="29">
        <v>0.28989583333333335</v>
      </c>
      <c r="AM158" s="29">
        <v>0.48349537037037038</v>
      </c>
      <c r="AN158" s="30">
        <v>0.67708333333333337</v>
      </c>
    </row>
    <row r="159" spans="1:40" ht="15.75" customHeight="1" x14ac:dyDescent="0.2">
      <c r="A159" s="27">
        <v>44879</v>
      </c>
      <c r="B159" s="13">
        <v>2022</v>
      </c>
      <c r="C159" s="13">
        <v>318</v>
      </c>
      <c r="D159" s="13">
        <f t="shared" si="5"/>
        <v>2</v>
      </c>
      <c r="E159" s="13"/>
      <c r="F159" s="13">
        <f t="shared" si="1"/>
        <v>3</v>
      </c>
      <c r="G159" s="14">
        <v>1</v>
      </c>
      <c r="H159" s="14">
        <v>0</v>
      </c>
      <c r="I159" s="14">
        <v>0.66</v>
      </c>
      <c r="J159" s="14">
        <v>0</v>
      </c>
      <c r="K159" s="14">
        <v>0</v>
      </c>
      <c r="L159" s="14">
        <v>0.62</v>
      </c>
      <c r="M159" s="15">
        <v>217.06200000000001</v>
      </c>
      <c r="N159" s="16" t="str">
        <f t="shared" si="6"/>
        <v>SW</v>
      </c>
      <c r="O159" s="17">
        <v>6.6</v>
      </c>
      <c r="P159" s="16" t="s">
        <v>137</v>
      </c>
      <c r="Q159" s="18">
        <v>0.2</v>
      </c>
      <c r="R159" s="19">
        <v>9.3000000000000007</v>
      </c>
      <c r="S159" s="19">
        <v>6.1</v>
      </c>
      <c r="T159" s="19">
        <v>13</v>
      </c>
      <c r="U159" s="20">
        <v>229.09</v>
      </c>
      <c r="V159" s="16" t="s">
        <v>5</v>
      </c>
      <c r="W159" s="21">
        <v>0</v>
      </c>
      <c r="X159" s="21">
        <v>0</v>
      </c>
      <c r="Y159" s="21">
        <v>0.04</v>
      </c>
      <c r="Z159" s="21">
        <v>0.04</v>
      </c>
      <c r="AA159" s="21">
        <v>0.04</v>
      </c>
      <c r="AB159" s="21">
        <v>0.71</v>
      </c>
      <c r="AC159" s="21">
        <v>0.17</v>
      </c>
      <c r="AD159" s="21">
        <v>0</v>
      </c>
      <c r="AE159" s="21">
        <v>5.99</v>
      </c>
      <c r="AF159" s="21">
        <v>5.34</v>
      </c>
      <c r="AG159" s="21">
        <v>11.7</v>
      </c>
      <c r="AH159" s="18" t="s">
        <v>35</v>
      </c>
      <c r="AI159" s="13" t="str">
        <f>VLOOKUP(AH159,'Hess and Brezowsky'!$B$2:$G$31,2,FALSE)</f>
        <v>Meridional</v>
      </c>
      <c r="AJ159" s="18" t="str">
        <f>VLOOKUP(AH159,'Hess and Brezowsky'!$B$2:$G$31,3,FALSE)</f>
        <v>A</v>
      </c>
      <c r="AK159" s="13" t="str">
        <f>VLOOKUP(AH159,'Hess and Brezowsky'!$B$2:$G$31,4,FALSE)</f>
        <v>Anticyclonic Southerly</v>
      </c>
      <c r="AL159" s="29">
        <v>0.29099537037037038</v>
      </c>
      <c r="AM159" s="29">
        <v>0.48359953703703706</v>
      </c>
      <c r="AN159" s="30">
        <v>0.67621527777777779</v>
      </c>
    </row>
    <row r="160" spans="1:40" ht="15.75" customHeight="1" x14ac:dyDescent="0.2">
      <c r="A160" s="27">
        <v>44880</v>
      </c>
      <c r="B160" s="13">
        <v>2022</v>
      </c>
      <c r="C160" s="13">
        <v>319</v>
      </c>
      <c r="D160" s="13">
        <f t="shared" si="5"/>
        <v>3</v>
      </c>
      <c r="E160" s="13"/>
      <c r="F160" s="13">
        <f t="shared" si="1"/>
        <v>3</v>
      </c>
      <c r="G160" s="14">
        <v>1</v>
      </c>
      <c r="H160" s="14">
        <v>0</v>
      </c>
      <c r="I160" s="14">
        <v>1</v>
      </c>
      <c r="J160" s="14">
        <v>0</v>
      </c>
      <c r="K160" s="14">
        <v>0</v>
      </c>
      <c r="L160" s="14">
        <v>1</v>
      </c>
      <c r="M160" s="15">
        <v>193.58500000000001</v>
      </c>
      <c r="N160" s="16" t="str">
        <f t="shared" si="6"/>
        <v>S</v>
      </c>
      <c r="O160" s="17">
        <v>10.5</v>
      </c>
      <c r="P160" s="16" t="s">
        <v>140</v>
      </c>
      <c r="Q160" s="18">
        <v>4.5999999999999996</v>
      </c>
      <c r="R160" s="19">
        <v>10.71</v>
      </c>
      <c r="S160" s="19">
        <v>7.8</v>
      </c>
      <c r="T160" s="19">
        <v>13</v>
      </c>
      <c r="U160" s="20">
        <v>194.99</v>
      </c>
      <c r="V160" s="16" t="s">
        <v>13</v>
      </c>
      <c r="W160" s="21">
        <v>0</v>
      </c>
      <c r="X160" s="21">
        <v>0</v>
      </c>
      <c r="Y160" s="21">
        <v>0</v>
      </c>
      <c r="Z160" s="21">
        <v>0</v>
      </c>
      <c r="AA160" s="21">
        <v>0.71</v>
      </c>
      <c r="AB160" s="21">
        <v>0.28999999999999998</v>
      </c>
      <c r="AC160" s="21">
        <v>0</v>
      </c>
      <c r="AD160" s="21">
        <v>0</v>
      </c>
      <c r="AE160" s="21">
        <v>11.52</v>
      </c>
      <c r="AF160" s="21">
        <v>10.86</v>
      </c>
      <c r="AG160" s="21">
        <v>19</v>
      </c>
      <c r="AH160" s="18" t="s">
        <v>35</v>
      </c>
      <c r="AI160" s="13" t="str">
        <f>VLOOKUP(AH160,'Hess and Brezowsky'!$B$2:$G$31,2,FALSE)</f>
        <v>Meridional</v>
      </c>
      <c r="AJ160" s="18" t="str">
        <f>VLOOKUP(AH160,'Hess and Brezowsky'!$B$2:$G$31,3,FALSE)</f>
        <v>A</v>
      </c>
      <c r="AK160" s="13" t="str">
        <f>VLOOKUP(AH160,'Hess and Brezowsky'!$B$2:$G$31,4,FALSE)</f>
        <v>Anticyclonic Southerly</v>
      </c>
      <c r="AL160" s="29">
        <v>0.29208333333333331</v>
      </c>
      <c r="AM160" s="29">
        <v>0.48372685185185182</v>
      </c>
      <c r="AN160" s="30">
        <v>0.67535879629629625</v>
      </c>
    </row>
    <row r="161" spans="1:40" ht="15.75" customHeight="1" x14ac:dyDescent="0.2">
      <c r="A161" s="27">
        <v>44881</v>
      </c>
      <c r="B161" s="13">
        <v>2022</v>
      </c>
      <c r="C161" s="13">
        <v>320</v>
      </c>
      <c r="D161" s="13">
        <f t="shared" si="5"/>
        <v>4</v>
      </c>
      <c r="E161" s="13"/>
      <c r="F161" s="13">
        <f t="shared" si="1"/>
        <v>3</v>
      </c>
      <c r="G161" s="14">
        <v>1</v>
      </c>
      <c r="H161" s="14">
        <v>0</v>
      </c>
      <c r="I161" s="14">
        <v>1</v>
      </c>
      <c r="J161" s="14">
        <v>0</v>
      </c>
      <c r="K161" s="14">
        <v>0</v>
      </c>
      <c r="L161" s="14">
        <v>1</v>
      </c>
      <c r="M161" s="15">
        <v>195.96</v>
      </c>
      <c r="N161" s="16" t="str">
        <f t="shared" si="6"/>
        <v>S</v>
      </c>
      <c r="O161" s="17">
        <v>12.5</v>
      </c>
      <c r="P161" s="16" t="s">
        <v>137</v>
      </c>
      <c r="Q161" s="18">
        <v>9.3000000000000007</v>
      </c>
      <c r="R161" s="19">
        <v>11.01</v>
      </c>
      <c r="S161" s="19">
        <v>8.1</v>
      </c>
      <c r="T161" s="19">
        <v>13.5</v>
      </c>
      <c r="U161" s="20">
        <v>192.31</v>
      </c>
      <c r="V161" s="16" t="s">
        <v>13</v>
      </c>
      <c r="W161" s="21">
        <v>0</v>
      </c>
      <c r="X161" s="21">
        <v>0</v>
      </c>
      <c r="Y161" s="21">
        <v>0</v>
      </c>
      <c r="Z161" s="21">
        <v>0</v>
      </c>
      <c r="AA161" s="21">
        <v>0.67</v>
      </c>
      <c r="AB161" s="21">
        <v>0.33</v>
      </c>
      <c r="AC161" s="21">
        <v>0</v>
      </c>
      <c r="AD161" s="21">
        <v>0</v>
      </c>
      <c r="AE161" s="21">
        <v>12.37</v>
      </c>
      <c r="AF161" s="21">
        <v>11.9</v>
      </c>
      <c r="AG161" s="21">
        <v>23</v>
      </c>
      <c r="AH161" s="18" t="s">
        <v>17</v>
      </c>
      <c r="AI161" s="13" t="str">
        <f>VLOOKUP(AH161,'Hess and Brezowsky'!$B$2:$G$31,2,FALSE)</f>
        <v>Meridional</v>
      </c>
      <c r="AJ161" s="18" t="str">
        <f>VLOOKUP(AH161,'Hess and Brezowsky'!$B$2:$G$31,3,FALSE)</f>
        <v>C</v>
      </c>
      <c r="AK161" s="13" t="str">
        <f>VLOOKUP(AH161,'Hess and Brezowsky'!$B$2:$G$31,4,FALSE)</f>
        <v>Scandinavian High, Trough Central Europe</v>
      </c>
      <c r="AL161" s="29">
        <v>0.29317129629629629</v>
      </c>
      <c r="AM161" s="29">
        <v>0.48385416666666664</v>
      </c>
      <c r="AN161" s="30">
        <v>0.67453703703703705</v>
      </c>
    </row>
    <row r="162" spans="1:40" ht="15.75" customHeight="1" x14ac:dyDescent="0.2">
      <c r="A162" s="27">
        <v>44882</v>
      </c>
      <c r="B162" s="13">
        <v>2022</v>
      </c>
      <c r="C162" s="13">
        <v>321</v>
      </c>
      <c r="D162" s="13">
        <f t="shared" si="5"/>
        <v>5</v>
      </c>
      <c r="E162" s="13"/>
      <c r="F162" s="13">
        <f t="shared" si="1"/>
        <v>3</v>
      </c>
      <c r="G162" s="14">
        <v>1</v>
      </c>
      <c r="H162" s="14">
        <v>0</v>
      </c>
      <c r="I162" s="14">
        <v>1</v>
      </c>
      <c r="J162" s="14">
        <v>0</v>
      </c>
      <c r="K162" s="14">
        <v>0</v>
      </c>
      <c r="L162" s="14">
        <v>1</v>
      </c>
      <c r="M162" s="15">
        <v>238.727</v>
      </c>
      <c r="N162" s="16" t="str">
        <f t="shared" si="6"/>
        <v>SW</v>
      </c>
      <c r="O162" s="17">
        <v>12.3</v>
      </c>
      <c r="P162" s="16" t="s">
        <v>137</v>
      </c>
      <c r="Q162" s="18">
        <v>1.6</v>
      </c>
      <c r="R162" s="19">
        <v>11.81</v>
      </c>
      <c r="S162" s="19">
        <v>9.6</v>
      </c>
      <c r="T162" s="19">
        <v>13.9</v>
      </c>
      <c r="U162" s="20">
        <v>236.79</v>
      </c>
      <c r="V162" s="16" t="s">
        <v>5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0.92</v>
      </c>
      <c r="AC162" s="21">
        <v>0.08</v>
      </c>
      <c r="AD162" s="21">
        <v>0</v>
      </c>
      <c r="AE162" s="21">
        <v>12.09</v>
      </c>
      <c r="AF162" s="21">
        <v>11.96</v>
      </c>
      <c r="AG162" s="21">
        <v>19.2</v>
      </c>
      <c r="AH162" s="18" t="s">
        <v>17</v>
      </c>
      <c r="AI162" s="13" t="str">
        <f>VLOOKUP(AH162,'Hess and Brezowsky'!$B$2:$G$31,2,FALSE)</f>
        <v>Meridional</v>
      </c>
      <c r="AJ162" s="18" t="str">
        <f>VLOOKUP(AH162,'Hess and Brezowsky'!$B$2:$G$31,3,FALSE)</f>
        <v>C</v>
      </c>
      <c r="AK162" s="13" t="str">
        <f>VLOOKUP(AH162,'Hess and Brezowsky'!$B$2:$G$31,4,FALSE)</f>
        <v>Scandinavian High, Trough Central Europe</v>
      </c>
      <c r="AL162" s="29">
        <v>0.29424768518518518</v>
      </c>
      <c r="AM162" s="29">
        <v>0.48399305555555555</v>
      </c>
      <c r="AN162" s="30">
        <v>0.67373842592592592</v>
      </c>
    </row>
    <row r="163" spans="1:40" ht="15.75" customHeight="1" x14ac:dyDescent="0.2">
      <c r="A163" s="27">
        <v>44883</v>
      </c>
      <c r="B163" s="13">
        <v>2022</v>
      </c>
      <c r="C163" s="13">
        <v>322</v>
      </c>
      <c r="D163" s="13">
        <f t="shared" si="5"/>
        <v>6</v>
      </c>
      <c r="E163" s="13"/>
      <c r="F163" s="13">
        <f t="shared" si="1"/>
        <v>3</v>
      </c>
      <c r="G163" s="14">
        <v>1</v>
      </c>
      <c r="H163" s="14">
        <v>0</v>
      </c>
      <c r="I163" s="14">
        <v>0.91</v>
      </c>
      <c r="J163" s="14">
        <v>0</v>
      </c>
      <c r="K163" s="14">
        <v>0</v>
      </c>
      <c r="L163" s="14">
        <v>1</v>
      </c>
      <c r="M163" s="15">
        <v>261.23899999999998</v>
      </c>
      <c r="N163" s="16" t="str">
        <f t="shared" si="6"/>
        <v>W</v>
      </c>
      <c r="O163" s="17">
        <v>9.4</v>
      </c>
      <c r="P163" s="16" t="s">
        <v>137</v>
      </c>
      <c r="Q163" s="18">
        <v>0.2</v>
      </c>
      <c r="R163" s="19">
        <v>9.51</v>
      </c>
      <c r="S163" s="19">
        <v>7.2</v>
      </c>
      <c r="T163" s="19">
        <v>12.8</v>
      </c>
      <c r="U163" s="20">
        <v>259.08999999999997</v>
      </c>
      <c r="V163" s="16" t="s">
        <v>16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0.21</v>
      </c>
      <c r="AC163" s="21">
        <v>0.75</v>
      </c>
      <c r="AD163" s="21">
        <v>0.04</v>
      </c>
      <c r="AE163" s="21">
        <v>9.9600000000000009</v>
      </c>
      <c r="AF163" s="21">
        <v>9.52</v>
      </c>
      <c r="AG163" s="21">
        <v>15.1</v>
      </c>
      <c r="AH163" s="18" t="s">
        <v>17</v>
      </c>
      <c r="AI163" s="13" t="str">
        <f>VLOOKUP(AH163,'Hess and Brezowsky'!$B$2:$G$31,2,FALSE)</f>
        <v>Meridional</v>
      </c>
      <c r="AJ163" s="18" t="str">
        <f>VLOOKUP(AH163,'Hess and Brezowsky'!$B$2:$G$31,3,FALSE)</f>
        <v>C</v>
      </c>
      <c r="AK163" s="13" t="str">
        <f>VLOOKUP(AH163,'Hess and Brezowsky'!$B$2:$G$31,4,FALSE)</f>
        <v>Scandinavian High, Trough Central Europe</v>
      </c>
      <c r="AL163" s="29">
        <v>0.29531249999999998</v>
      </c>
      <c r="AM163" s="29">
        <v>0.4841435185185185</v>
      </c>
      <c r="AN163" s="30">
        <v>0.67296296296296299</v>
      </c>
    </row>
    <row r="164" spans="1:40" ht="15.75" customHeight="1" x14ac:dyDescent="0.2">
      <c r="A164" s="27">
        <v>44884</v>
      </c>
      <c r="B164" s="13">
        <v>2022</v>
      </c>
      <c r="C164" s="13">
        <v>323</v>
      </c>
      <c r="D164" s="13">
        <f t="shared" si="5"/>
        <v>7</v>
      </c>
      <c r="E164" s="13"/>
      <c r="F164" s="13">
        <f t="shared" si="1"/>
        <v>3</v>
      </c>
      <c r="G164" s="14">
        <v>1</v>
      </c>
      <c r="H164" s="14">
        <v>0</v>
      </c>
      <c r="I164" s="14">
        <v>0.91</v>
      </c>
      <c r="J164" s="14">
        <v>0</v>
      </c>
      <c r="K164" s="14">
        <v>0</v>
      </c>
      <c r="L164" s="14">
        <v>1</v>
      </c>
      <c r="M164" s="15">
        <v>303.99299999999999</v>
      </c>
      <c r="N164" s="16" t="str">
        <f t="shared" si="6"/>
        <v>NW</v>
      </c>
      <c r="O164" s="17">
        <v>8.4</v>
      </c>
      <c r="P164" s="16" t="s">
        <v>137</v>
      </c>
      <c r="Q164" s="18">
        <v>0</v>
      </c>
      <c r="R164" s="19">
        <v>8.49</v>
      </c>
      <c r="S164" s="19">
        <v>6.1</v>
      </c>
      <c r="T164" s="19">
        <v>11.4</v>
      </c>
      <c r="U164" s="20">
        <v>298.54000000000002</v>
      </c>
      <c r="V164" s="16" t="s">
        <v>6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0.38</v>
      </c>
      <c r="AD164" s="21">
        <v>0.62</v>
      </c>
      <c r="AE164" s="21">
        <v>8.4499999999999993</v>
      </c>
      <c r="AF164" s="21">
        <v>8.1999999999999993</v>
      </c>
      <c r="AG164" s="21">
        <v>12.1</v>
      </c>
      <c r="AH164" s="18" t="s">
        <v>17</v>
      </c>
      <c r="AI164" s="13" t="str">
        <f>VLOOKUP(AH164,'Hess and Brezowsky'!$B$2:$G$31,2,FALSE)</f>
        <v>Meridional</v>
      </c>
      <c r="AJ164" s="18" t="str">
        <f>VLOOKUP(AH164,'Hess and Brezowsky'!$B$2:$G$31,3,FALSE)</f>
        <v>C</v>
      </c>
      <c r="AK164" s="13" t="str">
        <f>VLOOKUP(AH164,'Hess and Brezowsky'!$B$2:$G$31,4,FALSE)</f>
        <v>Scandinavian High, Trough Central Europe</v>
      </c>
      <c r="AL164" s="29">
        <v>0.29637731481481483</v>
      </c>
      <c r="AM164" s="29">
        <v>0.48429398148148151</v>
      </c>
      <c r="AN164" s="30">
        <v>0.67221064814814813</v>
      </c>
    </row>
    <row r="165" spans="1:40" ht="15.75" customHeight="1" x14ac:dyDescent="0.2">
      <c r="A165" s="27">
        <v>44885</v>
      </c>
      <c r="B165" s="13">
        <v>2022</v>
      </c>
      <c r="C165" s="13">
        <v>324</v>
      </c>
      <c r="D165" s="13">
        <f t="shared" si="5"/>
        <v>1</v>
      </c>
      <c r="E165" s="13"/>
      <c r="F165" s="13">
        <f t="shared" si="1"/>
        <v>3</v>
      </c>
      <c r="G165" s="14">
        <v>1</v>
      </c>
      <c r="H165" s="14">
        <v>0</v>
      </c>
      <c r="I165" s="14">
        <v>0.87</v>
      </c>
      <c r="J165" s="14">
        <v>0</v>
      </c>
      <c r="K165" s="14">
        <v>0</v>
      </c>
      <c r="L165" s="14">
        <v>1</v>
      </c>
      <c r="M165" s="15">
        <v>249.9</v>
      </c>
      <c r="N165" s="16" t="str">
        <f t="shared" si="6"/>
        <v>W</v>
      </c>
      <c r="O165" s="17">
        <v>10.9</v>
      </c>
      <c r="P165" s="16" t="s">
        <v>140</v>
      </c>
      <c r="Q165" s="18">
        <v>1</v>
      </c>
      <c r="R165" s="19">
        <v>7.68</v>
      </c>
      <c r="S165" s="19">
        <v>5.0999999999999996</v>
      </c>
      <c r="T165" s="19">
        <v>10.3</v>
      </c>
      <c r="U165" s="20">
        <v>253.24</v>
      </c>
      <c r="V165" s="16" t="s">
        <v>16</v>
      </c>
      <c r="W165" s="21">
        <v>0</v>
      </c>
      <c r="X165" s="21">
        <v>0</v>
      </c>
      <c r="Y165" s="21">
        <v>0</v>
      </c>
      <c r="Z165" s="21">
        <v>0</v>
      </c>
      <c r="AA165" s="21">
        <v>0.08</v>
      </c>
      <c r="AB165" s="21">
        <v>0.28999999999999998</v>
      </c>
      <c r="AC165" s="21">
        <v>0.62</v>
      </c>
      <c r="AD165" s="21">
        <v>0</v>
      </c>
      <c r="AE165" s="21">
        <v>12.06</v>
      </c>
      <c r="AF165" s="21">
        <v>11.22</v>
      </c>
      <c r="AG165" s="21">
        <v>18.3</v>
      </c>
      <c r="AH165" s="18" t="s">
        <v>36</v>
      </c>
      <c r="AI165" s="13" t="str">
        <f>VLOOKUP(AH165,'Hess and Brezowsky'!$B$2:$G$31,2,FALSE)</f>
        <v>Meridional</v>
      </c>
      <c r="AJ165" s="18" t="str">
        <f>VLOOKUP(AH165,'Hess and Brezowsky'!$B$2:$G$31,3,FALSE)</f>
        <v>C</v>
      </c>
      <c r="AK165" s="13" t="str">
        <f>VLOOKUP(AH165,'Hess and Brezowsky'!$B$2:$G$31,4,FALSE)</f>
        <v>Low over the British Isles</v>
      </c>
      <c r="AL165" s="29">
        <v>0.29743055555555553</v>
      </c>
      <c r="AM165" s="29">
        <v>0.48445601851851849</v>
      </c>
      <c r="AN165" s="30">
        <v>0.67149305555555561</v>
      </c>
    </row>
    <row r="166" spans="1:40" ht="15.75" customHeight="1" x14ac:dyDescent="0.2">
      <c r="A166" s="27">
        <v>44886</v>
      </c>
      <c r="B166" s="13">
        <v>2022</v>
      </c>
      <c r="C166" s="13">
        <v>325</v>
      </c>
      <c r="D166" s="13">
        <f t="shared" si="5"/>
        <v>2</v>
      </c>
      <c r="E166" s="13"/>
      <c r="F166" s="13">
        <f t="shared" si="1"/>
        <v>3</v>
      </c>
      <c r="G166" s="14">
        <v>1</v>
      </c>
      <c r="H166" s="14">
        <v>0</v>
      </c>
      <c r="I166" s="14">
        <v>1</v>
      </c>
      <c r="J166" s="14">
        <v>0</v>
      </c>
      <c r="K166" s="14">
        <v>0</v>
      </c>
      <c r="L166" s="14">
        <v>1</v>
      </c>
      <c r="M166" s="15">
        <v>215.714</v>
      </c>
      <c r="N166" s="16" t="str">
        <f t="shared" si="6"/>
        <v>SW</v>
      </c>
      <c r="O166" s="17">
        <v>10</v>
      </c>
      <c r="P166" s="16" t="s">
        <v>140</v>
      </c>
      <c r="Q166" s="18">
        <v>3.6</v>
      </c>
      <c r="R166" s="19">
        <v>7.01</v>
      </c>
      <c r="S166" s="19">
        <v>5.2</v>
      </c>
      <c r="T166" s="19">
        <v>8.1</v>
      </c>
      <c r="U166" s="20">
        <v>216.45</v>
      </c>
      <c r="V166" s="16" t="s">
        <v>5</v>
      </c>
      <c r="W166" s="21">
        <v>0</v>
      </c>
      <c r="X166" s="21">
        <v>0</v>
      </c>
      <c r="Y166" s="21">
        <v>0</v>
      </c>
      <c r="Z166" s="21">
        <v>0.08</v>
      </c>
      <c r="AA166" s="21">
        <v>0.28999999999999998</v>
      </c>
      <c r="AB166" s="21">
        <v>0.33</v>
      </c>
      <c r="AC166" s="21">
        <v>0.28999999999999998</v>
      </c>
      <c r="AD166" s="21">
        <v>0</v>
      </c>
      <c r="AE166" s="21">
        <v>12.12</v>
      </c>
      <c r="AF166" s="21">
        <v>9.2100000000000009</v>
      </c>
      <c r="AG166" s="21">
        <v>18.899999999999999</v>
      </c>
      <c r="AH166" s="18" t="s">
        <v>36</v>
      </c>
      <c r="AI166" s="13" t="str">
        <f>VLOOKUP(AH166,'Hess and Brezowsky'!$B$2:$G$31,2,FALSE)</f>
        <v>Meridional</v>
      </c>
      <c r="AJ166" s="18" t="str">
        <f>VLOOKUP(AH166,'Hess and Brezowsky'!$B$2:$G$31,3,FALSE)</f>
        <v>C</v>
      </c>
      <c r="AK166" s="13" t="str">
        <f>VLOOKUP(AH166,'Hess and Brezowsky'!$B$2:$G$31,4,FALSE)</f>
        <v>Low over the British Isles</v>
      </c>
      <c r="AL166" s="29">
        <v>0.29847222222222225</v>
      </c>
      <c r="AM166" s="29">
        <v>0.48464120370370373</v>
      </c>
      <c r="AN166" s="30">
        <v>0.67079861111111116</v>
      </c>
    </row>
    <row r="167" spans="1:40" ht="15.75" customHeight="1" x14ac:dyDescent="0.2">
      <c r="A167" s="27">
        <v>44887</v>
      </c>
      <c r="B167" s="13">
        <v>2022</v>
      </c>
      <c r="C167" s="13">
        <v>326</v>
      </c>
      <c r="D167" s="13">
        <f t="shared" si="5"/>
        <v>3</v>
      </c>
      <c r="E167" s="13"/>
      <c r="F167" s="13">
        <f t="shared" si="1"/>
        <v>3</v>
      </c>
      <c r="G167" s="14">
        <v>1</v>
      </c>
      <c r="H167" s="14">
        <v>0</v>
      </c>
      <c r="I167" s="14">
        <v>1</v>
      </c>
      <c r="J167" s="14">
        <v>0</v>
      </c>
      <c r="K167" s="14">
        <v>0</v>
      </c>
      <c r="L167" s="14">
        <v>1</v>
      </c>
      <c r="M167" s="15">
        <v>230.261</v>
      </c>
      <c r="N167" s="16" t="str">
        <f t="shared" si="6"/>
        <v>SW</v>
      </c>
      <c r="O167" s="17">
        <v>12.3</v>
      </c>
      <c r="P167" s="16" t="s">
        <v>137</v>
      </c>
      <c r="Q167" s="18">
        <v>1</v>
      </c>
      <c r="R167" s="19">
        <v>8.18</v>
      </c>
      <c r="S167" s="19">
        <v>4.8</v>
      </c>
      <c r="T167" s="19">
        <v>11.3</v>
      </c>
      <c r="U167" s="20">
        <v>230.43</v>
      </c>
      <c r="V167" s="16" t="s">
        <v>5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21">
        <v>1</v>
      </c>
      <c r="AC167" s="21">
        <v>0</v>
      </c>
      <c r="AD167" s="21">
        <v>0</v>
      </c>
      <c r="AE167" s="21">
        <v>11.53</v>
      </c>
      <c r="AF167" s="21">
        <v>11.43</v>
      </c>
      <c r="AG167" s="21">
        <v>17.3</v>
      </c>
      <c r="AH167" s="18" t="s">
        <v>36</v>
      </c>
      <c r="AI167" s="13" t="str">
        <f>VLOOKUP(AH167,'Hess and Brezowsky'!$B$2:$G$31,2,FALSE)</f>
        <v>Meridional</v>
      </c>
      <c r="AJ167" s="18" t="str">
        <f>VLOOKUP(AH167,'Hess and Brezowsky'!$B$2:$G$31,3,FALSE)</f>
        <v>C</v>
      </c>
      <c r="AK167" s="13" t="str">
        <f>VLOOKUP(AH167,'Hess and Brezowsky'!$B$2:$G$31,4,FALSE)</f>
        <v>Low over the British Isles</v>
      </c>
      <c r="AL167" s="29">
        <v>0.29950231481481482</v>
      </c>
      <c r="AM167" s="29">
        <v>0.48481481481481481</v>
      </c>
      <c r="AN167" s="30">
        <v>0.6701273148148148</v>
      </c>
    </row>
    <row r="168" spans="1:40" ht="15.75" customHeight="1" x14ac:dyDescent="0.2">
      <c r="A168" s="27">
        <v>44888</v>
      </c>
      <c r="B168" s="13">
        <v>2022</v>
      </c>
      <c r="C168" s="13">
        <v>327</v>
      </c>
      <c r="D168" s="13">
        <f t="shared" si="5"/>
        <v>4</v>
      </c>
      <c r="E168" s="13"/>
      <c r="F168" s="13">
        <f t="shared" si="1"/>
        <v>3</v>
      </c>
      <c r="G168" s="14">
        <v>1</v>
      </c>
      <c r="H168" s="14">
        <v>0</v>
      </c>
      <c r="I168" s="14">
        <v>1</v>
      </c>
      <c r="J168" s="14">
        <v>0</v>
      </c>
      <c r="K168" s="14">
        <v>0</v>
      </c>
      <c r="L168" s="14">
        <v>1</v>
      </c>
      <c r="M168" s="15">
        <v>220.952</v>
      </c>
      <c r="N168" s="16" t="str">
        <f t="shared" si="6"/>
        <v>SW</v>
      </c>
      <c r="O168" s="17">
        <v>10.3</v>
      </c>
      <c r="P168" s="16" t="s">
        <v>137</v>
      </c>
      <c r="Q168" s="18">
        <v>5</v>
      </c>
      <c r="R168" s="19">
        <v>8.4499999999999993</v>
      </c>
      <c r="S168" s="19">
        <v>5.5</v>
      </c>
      <c r="T168" s="19">
        <v>13</v>
      </c>
      <c r="U168" s="20">
        <v>220.56</v>
      </c>
      <c r="V168" s="16" t="s">
        <v>5</v>
      </c>
      <c r="W168" s="21">
        <v>0</v>
      </c>
      <c r="X168" s="21">
        <v>0</v>
      </c>
      <c r="Y168" s="21">
        <v>0</v>
      </c>
      <c r="Z168" s="21">
        <v>0</v>
      </c>
      <c r="AA168" s="21">
        <v>0.33</v>
      </c>
      <c r="AB168" s="21">
        <v>0.5</v>
      </c>
      <c r="AC168" s="21">
        <v>0.17</v>
      </c>
      <c r="AD168" s="21">
        <v>0</v>
      </c>
      <c r="AE168" s="21">
        <v>11.45</v>
      </c>
      <c r="AF168" s="21">
        <v>9.9499999999999993</v>
      </c>
      <c r="AG168" s="21">
        <v>16</v>
      </c>
      <c r="AH168" s="18" t="s">
        <v>37</v>
      </c>
      <c r="AI168" s="13" t="str">
        <f>VLOOKUP(AH168,'Hess and Brezowsky'!$B$2:$G$31,2,FALSE)</f>
        <v>Zonal</v>
      </c>
      <c r="AJ168" s="18" t="str">
        <f>VLOOKUP(AH168,'Hess and Brezowsky'!$B$2:$G$31,3,FALSE)</f>
        <v>M</v>
      </c>
      <c r="AK168" s="13" t="str">
        <f>VLOOKUP(AH168,'Hess and Brezowsky'!$B$2:$G$31,4,FALSE)</f>
        <v>Maritime Westerly (Block Eastern Europe)</v>
      </c>
      <c r="AL168" s="29">
        <v>0.30053240740740739</v>
      </c>
      <c r="AM168" s="29">
        <v>0.48501157407407408</v>
      </c>
      <c r="AN168" s="30">
        <v>0.66949074074074078</v>
      </c>
    </row>
    <row r="169" spans="1:40" ht="15.75" customHeight="1" x14ac:dyDescent="0.2">
      <c r="A169" s="27">
        <v>44889</v>
      </c>
      <c r="B169" s="13">
        <v>2022</v>
      </c>
      <c r="C169" s="13">
        <v>328</v>
      </c>
      <c r="D169" s="13">
        <f t="shared" si="5"/>
        <v>5</v>
      </c>
      <c r="E169" s="13"/>
      <c r="F169" s="13">
        <f t="shared" si="1"/>
        <v>3</v>
      </c>
      <c r="G169" s="14">
        <v>1</v>
      </c>
      <c r="H169" s="14">
        <v>0</v>
      </c>
      <c r="I169" s="14">
        <v>0.95</v>
      </c>
      <c r="J169" s="14">
        <v>0</v>
      </c>
      <c r="K169" s="14">
        <v>0</v>
      </c>
      <c r="L169" s="14">
        <v>1</v>
      </c>
      <c r="M169" s="15">
        <v>210.74299999999999</v>
      </c>
      <c r="N169" s="16" t="str">
        <f t="shared" si="6"/>
        <v>SW</v>
      </c>
      <c r="O169" s="17">
        <v>10.3</v>
      </c>
      <c r="P169" s="16" t="s">
        <v>137</v>
      </c>
      <c r="Q169" s="18">
        <v>0.6</v>
      </c>
      <c r="R169" s="19">
        <v>10.09</v>
      </c>
      <c r="S169" s="19">
        <v>6.8</v>
      </c>
      <c r="T169" s="19">
        <v>12.7</v>
      </c>
      <c r="U169" s="20">
        <v>212.75</v>
      </c>
      <c r="V169" s="16" t="s">
        <v>5</v>
      </c>
      <c r="W169" s="21">
        <v>0</v>
      </c>
      <c r="X169" s="21">
        <v>0</v>
      </c>
      <c r="Y169" s="21">
        <v>0</v>
      </c>
      <c r="Z169" s="21">
        <v>0</v>
      </c>
      <c r="AA169" s="21">
        <v>0.5</v>
      </c>
      <c r="AB169" s="21">
        <v>0.5</v>
      </c>
      <c r="AC169" s="21">
        <v>0</v>
      </c>
      <c r="AD169" s="21">
        <v>0</v>
      </c>
      <c r="AE169" s="21">
        <v>11.02</v>
      </c>
      <c r="AF169" s="21">
        <v>10.1</v>
      </c>
      <c r="AG169" s="21">
        <v>16.899999999999999</v>
      </c>
      <c r="AH169" s="18" t="s">
        <v>37</v>
      </c>
      <c r="AI169" s="13" t="str">
        <f>VLOOKUP(AH169,'Hess and Brezowsky'!$B$2:$G$31,2,FALSE)</f>
        <v>Zonal</v>
      </c>
      <c r="AJ169" s="18" t="str">
        <f>VLOOKUP(AH169,'Hess and Brezowsky'!$B$2:$G$31,3,FALSE)</f>
        <v>M</v>
      </c>
      <c r="AK169" s="13" t="str">
        <f>VLOOKUP(AH169,'Hess and Brezowsky'!$B$2:$G$31,4,FALSE)</f>
        <v>Maritime Westerly (Block Eastern Europe)</v>
      </c>
      <c r="AL169" s="29">
        <v>0.30153935185185188</v>
      </c>
      <c r="AM169" s="29">
        <v>0.48520833333333335</v>
      </c>
      <c r="AN169" s="30">
        <v>0.66888888888888887</v>
      </c>
    </row>
    <row r="170" spans="1:40" ht="15.75" customHeight="1" x14ac:dyDescent="0.2">
      <c r="A170" s="27">
        <v>44890</v>
      </c>
      <c r="B170" s="13">
        <v>2022</v>
      </c>
      <c r="C170" s="13">
        <v>329</v>
      </c>
      <c r="D170" s="13">
        <f t="shared" si="5"/>
        <v>6</v>
      </c>
      <c r="E170" s="13"/>
      <c r="F170" s="13">
        <f t="shared" si="1"/>
        <v>3</v>
      </c>
      <c r="G170" s="14">
        <v>1</v>
      </c>
      <c r="H170" s="14">
        <v>0</v>
      </c>
      <c r="I170" s="14">
        <v>0.87</v>
      </c>
      <c r="J170" s="14">
        <v>0</v>
      </c>
      <c r="K170" s="14">
        <v>0</v>
      </c>
      <c r="L170" s="14">
        <v>1</v>
      </c>
      <c r="M170" s="15">
        <v>260.55700000000002</v>
      </c>
      <c r="N170" s="16" t="str">
        <f t="shared" si="6"/>
        <v>W</v>
      </c>
      <c r="O170" s="17">
        <v>7.7</v>
      </c>
      <c r="P170" s="16" t="s">
        <v>137</v>
      </c>
      <c r="Q170" s="18">
        <v>0.4</v>
      </c>
      <c r="R170" s="19">
        <v>9.42</v>
      </c>
      <c r="S170" s="19">
        <v>6.9</v>
      </c>
      <c r="T170" s="19">
        <v>12.3</v>
      </c>
      <c r="U170" s="20">
        <v>263.26</v>
      </c>
      <c r="V170" s="16" t="s">
        <v>16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0.12</v>
      </c>
      <c r="AC170" s="21">
        <v>0.88</v>
      </c>
      <c r="AD170" s="21">
        <v>0</v>
      </c>
      <c r="AE170" s="21">
        <v>9.01</v>
      </c>
      <c r="AF170" s="21">
        <v>8.7200000000000006</v>
      </c>
      <c r="AG170" s="21">
        <v>14.4</v>
      </c>
      <c r="AH170" s="18" t="s">
        <v>37</v>
      </c>
      <c r="AI170" s="13" t="str">
        <f>VLOOKUP(AH170,'Hess and Brezowsky'!$B$2:$G$31,2,FALSE)</f>
        <v>Zonal</v>
      </c>
      <c r="AJ170" s="18" t="str">
        <f>VLOOKUP(AH170,'Hess and Brezowsky'!$B$2:$G$31,3,FALSE)</f>
        <v>M</v>
      </c>
      <c r="AK170" s="13" t="str">
        <f>VLOOKUP(AH170,'Hess and Brezowsky'!$B$2:$G$31,4,FALSE)</f>
        <v>Maritime Westerly (Block Eastern Europe)</v>
      </c>
      <c r="AL170" s="29">
        <v>0.30253472222222222</v>
      </c>
      <c r="AM170" s="29">
        <v>0.48541666666666666</v>
      </c>
      <c r="AN170" s="30">
        <v>0.66829861111111111</v>
      </c>
    </row>
    <row r="171" spans="1:40" ht="15.75" customHeight="1" x14ac:dyDescent="0.2">
      <c r="A171" s="27">
        <v>44891</v>
      </c>
      <c r="B171" s="13">
        <v>2022</v>
      </c>
      <c r="C171" s="13">
        <v>330</v>
      </c>
      <c r="D171" s="13">
        <f t="shared" si="5"/>
        <v>7</v>
      </c>
      <c r="E171" s="13"/>
      <c r="F171" s="13">
        <f t="shared" si="1"/>
        <v>3</v>
      </c>
      <c r="G171" s="14">
        <v>1</v>
      </c>
      <c r="H171" s="14">
        <v>0</v>
      </c>
      <c r="I171" s="14">
        <v>0.95</v>
      </c>
      <c r="J171" s="14">
        <v>0</v>
      </c>
      <c r="K171" s="14">
        <v>0</v>
      </c>
      <c r="L171" s="14">
        <v>1</v>
      </c>
      <c r="M171" s="15">
        <v>189.65</v>
      </c>
      <c r="N171" s="16" t="str">
        <f t="shared" si="6"/>
        <v>S</v>
      </c>
      <c r="O171" s="17">
        <v>6.1</v>
      </c>
      <c r="P171" s="16" t="s">
        <v>140</v>
      </c>
      <c r="Q171" s="18">
        <v>0.2</v>
      </c>
      <c r="R171" s="19">
        <v>6.7</v>
      </c>
      <c r="S171" s="19">
        <v>4.8</v>
      </c>
      <c r="T171" s="19">
        <v>8.4</v>
      </c>
      <c r="U171" s="20">
        <v>186.07</v>
      </c>
      <c r="V171" s="16" t="s">
        <v>13</v>
      </c>
      <c r="W171" s="21">
        <v>0</v>
      </c>
      <c r="X171" s="21">
        <v>0</v>
      </c>
      <c r="Y171" s="21">
        <v>0</v>
      </c>
      <c r="Z171" s="21">
        <v>0</v>
      </c>
      <c r="AA171" s="21">
        <v>0.71</v>
      </c>
      <c r="AB171" s="21">
        <v>0.21</v>
      </c>
      <c r="AC171" s="21">
        <v>0.08</v>
      </c>
      <c r="AD171" s="21">
        <v>0</v>
      </c>
      <c r="AE171" s="21">
        <v>6.16</v>
      </c>
      <c r="AF171" s="21">
        <v>5.55</v>
      </c>
      <c r="AG171" s="21">
        <v>9.9</v>
      </c>
      <c r="AH171" s="18" t="s">
        <v>15</v>
      </c>
      <c r="AI171" s="13" t="str">
        <f>VLOOKUP(AH171,'Hess and Brezowsky'!$B$2:$G$31,2,FALSE)</f>
        <v>Meridional</v>
      </c>
      <c r="AJ171" s="18" t="str">
        <f>VLOOKUP(AH171,'Hess and Brezowsky'!$B$2:$G$31,3,FALSE)</f>
        <v>C</v>
      </c>
      <c r="AK171" s="13" t="str">
        <f>VLOOKUP(AH171,'Hess and Brezowsky'!$B$2:$G$31,4,FALSE)</f>
        <v>Cyclonic Southerly</v>
      </c>
      <c r="AL171" s="29">
        <v>0.30351851851851852</v>
      </c>
      <c r="AM171" s="29">
        <v>0.48563657407407407</v>
      </c>
      <c r="AN171" s="30">
        <v>0.66775462962962961</v>
      </c>
    </row>
    <row r="172" spans="1:40" ht="15.75" customHeight="1" x14ac:dyDescent="0.2">
      <c r="A172" s="27">
        <v>44892</v>
      </c>
      <c r="B172" s="13">
        <v>2022</v>
      </c>
      <c r="C172" s="13">
        <v>331</v>
      </c>
      <c r="D172" s="13">
        <f t="shared" si="5"/>
        <v>1</v>
      </c>
      <c r="E172" s="13"/>
      <c r="F172" s="13">
        <f t="shared" si="1"/>
        <v>3</v>
      </c>
      <c r="G172" s="14">
        <v>1</v>
      </c>
      <c r="H172" s="14">
        <v>0</v>
      </c>
      <c r="I172" s="14">
        <v>1</v>
      </c>
      <c r="J172" s="14">
        <v>0</v>
      </c>
      <c r="K172" s="14">
        <v>0</v>
      </c>
      <c r="L172" s="14">
        <v>1</v>
      </c>
      <c r="M172" s="15">
        <v>188.018</v>
      </c>
      <c r="N172" s="16" t="str">
        <f t="shared" si="6"/>
        <v>S</v>
      </c>
      <c r="O172" s="17">
        <v>9</v>
      </c>
      <c r="P172" s="16" t="s">
        <v>140</v>
      </c>
      <c r="Q172" s="18">
        <v>4.5999999999999996</v>
      </c>
      <c r="R172" s="19">
        <v>7.8</v>
      </c>
      <c r="S172" s="19">
        <v>6</v>
      </c>
      <c r="T172" s="19">
        <v>9.8000000000000007</v>
      </c>
      <c r="U172" s="20">
        <v>189.88</v>
      </c>
      <c r="V172" s="16" t="s">
        <v>13</v>
      </c>
      <c r="W172" s="21">
        <v>0</v>
      </c>
      <c r="X172" s="21">
        <v>0</v>
      </c>
      <c r="Y172" s="21">
        <v>0</v>
      </c>
      <c r="Z172" s="21">
        <v>0</v>
      </c>
      <c r="AA172" s="21">
        <v>0.92</v>
      </c>
      <c r="AB172" s="21">
        <v>0.08</v>
      </c>
      <c r="AC172" s="21">
        <v>0</v>
      </c>
      <c r="AD172" s="21">
        <v>0</v>
      </c>
      <c r="AE172" s="21">
        <v>9.81</v>
      </c>
      <c r="AF172" s="21">
        <v>9.57</v>
      </c>
      <c r="AG172" s="21">
        <v>12.9</v>
      </c>
      <c r="AH172" s="18" t="s">
        <v>15</v>
      </c>
      <c r="AI172" s="13" t="str">
        <f>VLOOKUP(AH172,'Hess and Brezowsky'!$B$2:$G$31,2,FALSE)</f>
        <v>Meridional</v>
      </c>
      <c r="AJ172" s="18" t="str">
        <f>VLOOKUP(AH172,'Hess and Brezowsky'!$B$2:$G$31,3,FALSE)</f>
        <v>C</v>
      </c>
      <c r="AK172" s="13" t="str">
        <f>VLOOKUP(AH172,'Hess and Brezowsky'!$B$2:$G$31,4,FALSE)</f>
        <v>Cyclonic Southerly</v>
      </c>
      <c r="AL172" s="29">
        <v>0.30449074074074073</v>
      </c>
      <c r="AM172" s="29">
        <v>0.48585648148148147</v>
      </c>
      <c r="AN172" s="30">
        <v>0.66723379629629631</v>
      </c>
    </row>
    <row r="173" spans="1:40" ht="15.75" customHeight="1" x14ac:dyDescent="0.2">
      <c r="A173" s="27">
        <v>44893</v>
      </c>
      <c r="B173" s="13">
        <v>2022</v>
      </c>
      <c r="C173" s="13">
        <v>332</v>
      </c>
      <c r="D173" s="13">
        <f t="shared" si="5"/>
        <v>2</v>
      </c>
      <c r="E173" s="13"/>
      <c r="F173" s="13">
        <f t="shared" si="1"/>
        <v>3</v>
      </c>
      <c r="G173" s="14">
        <v>1</v>
      </c>
      <c r="H173" s="14">
        <v>0</v>
      </c>
      <c r="I173" s="14">
        <v>1</v>
      </c>
      <c r="J173" s="14">
        <v>0</v>
      </c>
      <c r="K173" s="14">
        <v>0</v>
      </c>
      <c r="L173" s="14">
        <v>1</v>
      </c>
      <c r="M173" s="15">
        <v>248.9</v>
      </c>
      <c r="N173" s="16" t="str">
        <f t="shared" si="6"/>
        <v>W</v>
      </c>
      <c r="O173" s="17">
        <v>6</v>
      </c>
      <c r="P173" s="16" t="s">
        <v>137</v>
      </c>
      <c r="Q173" s="18">
        <v>0.6</v>
      </c>
      <c r="R173" s="19">
        <v>9.08</v>
      </c>
      <c r="S173" s="19">
        <v>7.7</v>
      </c>
      <c r="T173" s="19">
        <v>11.4</v>
      </c>
      <c r="U173" s="20">
        <v>253.66</v>
      </c>
      <c r="V173" s="16" t="s">
        <v>16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0.33</v>
      </c>
      <c r="AC173" s="21">
        <v>0.67</v>
      </c>
      <c r="AD173" s="21">
        <v>0</v>
      </c>
      <c r="AE173" s="21">
        <v>6.49</v>
      </c>
      <c r="AF173" s="21">
        <v>6.27</v>
      </c>
      <c r="AG173" s="21">
        <v>10.7</v>
      </c>
      <c r="AH173" s="18" t="s">
        <v>15</v>
      </c>
      <c r="AI173" s="13" t="str">
        <f>VLOOKUP(AH173,'Hess and Brezowsky'!$B$2:$G$31,2,FALSE)</f>
        <v>Meridional</v>
      </c>
      <c r="AJ173" s="18" t="str">
        <f>VLOOKUP(AH173,'Hess and Brezowsky'!$B$2:$G$31,3,FALSE)</f>
        <v>C</v>
      </c>
      <c r="AK173" s="13" t="str">
        <f>VLOOKUP(AH173,'Hess and Brezowsky'!$B$2:$G$31,4,FALSE)</f>
        <v>Cyclonic Southerly</v>
      </c>
      <c r="AL173" s="29">
        <v>0.3054398148148148</v>
      </c>
      <c r="AM173" s="29">
        <v>0.48609953703703701</v>
      </c>
      <c r="AN173" s="30">
        <v>0.66674768518518523</v>
      </c>
    </row>
    <row r="174" spans="1:40" ht="15.75" customHeight="1" x14ac:dyDescent="0.2">
      <c r="A174" s="27">
        <v>44894</v>
      </c>
      <c r="B174" s="13">
        <v>2022</v>
      </c>
      <c r="C174" s="13">
        <v>333</v>
      </c>
      <c r="D174" s="13">
        <f t="shared" si="5"/>
        <v>3</v>
      </c>
      <c r="E174" s="13"/>
      <c r="F174" s="13">
        <f t="shared" si="1"/>
        <v>3</v>
      </c>
      <c r="G174" s="14">
        <v>1</v>
      </c>
      <c r="H174" s="14">
        <v>0</v>
      </c>
      <c r="I174" s="14">
        <v>1</v>
      </c>
      <c r="J174" s="14">
        <v>0</v>
      </c>
      <c r="K174" s="14">
        <v>0</v>
      </c>
      <c r="L174" s="14">
        <v>1</v>
      </c>
      <c r="M174" s="15">
        <v>3.6309999999999998</v>
      </c>
      <c r="N174" s="16" t="str">
        <f t="shared" si="6"/>
        <v>N</v>
      </c>
      <c r="O174" s="17">
        <v>2.2000000000000002</v>
      </c>
      <c r="P174" s="16" t="s">
        <v>140</v>
      </c>
      <c r="Q174" s="18">
        <v>0</v>
      </c>
      <c r="R174" s="19">
        <v>7.91</v>
      </c>
      <c r="S174" s="19">
        <v>6.6</v>
      </c>
      <c r="T174" s="19">
        <v>9.1</v>
      </c>
      <c r="U174" s="20">
        <v>350.15</v>
      </c>
      <c r="V174" s="16" t="s">
        <v>7</v>
      </c>
      <c r="W174" s="21">
        <v>0.25</v>
      </c>
      <c r="X174" s="21">
        <v>0.04</v>
      </c>
      <c r="Y174" s="21">
        <v>0.42</v>
      </c>
      <c r="Z174" s="21">
        <v>0</v>
      </c>
      <c r="AA174" s="21">
        <v>0</v>
      </c>
      <c r="AB174" s="21">
        <v>0</v>
      </c>
      <c r="AC174" s="21">
        <v>0.08</v>
      </c>
      <c r="AD174" s="21">
        <v>0.21</v>
      </c>
      <c r="AE174" s="21">
        <v>1.92</v>
      </c>
      <c r="AF174" s="21">
        <v>0.83</v>
      </c>
      <c r="AG174" s="21">
        <v>6.5</v>
      </c>
      <c r="AH174" s="18" t="s">
        <v>12</v>
      </c>
      <c r="AI174" s="13" t="str">
        <f>VLOOKUP(AH174,'Hess and Brezowsky'!$B$2:$G$31,2,FALSE)</f>
        <v>Undefined</v>
      </c>
      <c r="AJ174" s="18" t="str">
        <f>VLOOKUP(AH174,'Hess and Brezowsky'!$B$2:$G$31,3,FALSE)</f>
        <v>M</v>
      </c>
      <c r="AK174" s="13" t="str">
        <f>VLOOKUP(AH174,'Hess and Brezowsky'!$B$2:$G$31,4,FALSE)</f>
        <v>Transistion / Undefined</v>
      </c>
      <c r="AL174" s="29">
        <v>0.30637731481481484</v>
      </c>
      <c r="AM174" s="29">
        <v>0.48633101851851851</v>
      </c>
      <c r="AN174" s="30">
        <v>0.66628472222222224</v>
      </c>
    </row>
    <row r="175" spans="1:40" ht="15.75" customHeight="1" x14ac:dyDescent="0.2">
      <c r="A175" s="27">
        <v>44895</v>
      </c>
      <c r="B175" s="13">
        <v>2022</v>
      </c>
      <c r="C175" s="13">
        <v>334</v>
      </c>
      <c r="D175" s="13">
        <f t="shared" si="5"/>
        <v>4</v>
      </c>
      <c r="E175" s="13"/>
      <c r="F175" s="13">
        <f t="shared" si="1"/>
        <v>3</v>
      </c>
      <c r="G175" s="14">
        <v>1</v>
      </c>
      <c r="H175" s="14">
        <v>0</v>
      </c>
      <c r="I175" s="14">
        <v>1</v>
      </c>
      <c r="J175" s="14">
        <v>0</v>
      </c>
      <c r="K175" s="14">
        <v>0</v>
      </c>
      <c r="L175" s="14">
        <v>1</v>
      </c>
      <c r="M175" s="15">
        <v>40.741</v>
      </c>
      <c r="N175" s="16" t="str">
        <f t="shared" si="6"/>
        <v>NE</v>
      </c>
      <c r="O175" s="17">
        <v>4.5999999999999996</v>
      </c>
      <c r="P175" s="16" t="s">
        <v>137</v>
      </c>
      <c r="Q175" s="18">
        <v>0</v>
      </c>
      <c r="R175" s="19">
        <v>6.67</v>
      </c>
      <c r="S175" s="19">
        <v>4.5999999999999996</v>
      </c>
      <c r="T175" s="19">
        <v>8.1999999999999993</v>
      </c>
      <c r="U175" s="20">
        <v>37.29</v>
      </c>
      <c r="V175" s="16" t="s">
        <v>10</v>
      </c>
      <c r="W175" s="21">
        <v>0.12</v>
      </c>
      <c r="X175" s="21">
        <v>0.83</v>
      </c>
      <c r="Y175" s="21">
        <v>0.04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4.4000000000000004</v>
      </c>
      <c r="AF175" s="21">
        <v>4.3</v>
      </c>
      <c r="AG175" s="21">
        <v>8.1999999999999993</v>
      </c>
      <c r="AH175" s="18" t="s">
        <v>17</v>
      </c>
      <c r="AI175" s="13" t="str">
        <f>VLOOKUP(AH175,'Hess and Brezowsky'!$B$2:$G$31,2,FALSE)</f>
        <v>Meridional</v>
      </c>
      <c r="AJ175" s="18" t="str">
        <f>VLOOKUP(AH175,'Hess and Brezowsky'!$B$2:$G$31,3,FALSE)</f>
        <v>C</v>
      </c>
      <c r="AK175" s="13" t="str">
        <f>VLOOKUP(AH175,'Hess and Brezowsky'!$B$2:$G$31,4,FALSE)</f>
        <v>Scandinavian High, Trough Central Europe</v>
      </c>
      <c r="AL175" s="29">
        <v>0.30730324074074072</v>
      </c>
      <c r="AM175" s="29">
        <v>0.48658564814814814</v>
      </c>
      <c r="AN175" s="30">
        <v>0.66585648148148147</v>
      </c>
    </row>
    <row r="176" spans="1:40" ht="15.75" customHeight="1" x14ac:dyDescent="0.2">
      <c r="A176" s="27">
        <v>44896</v>
      </c>
      <c r="B176" s="13">
        <v>2022</v>
      </c>
      <c r="C176" s="13">
        <v>335</v>
      </c>
      <c r="D176" s="13">
        <f t="shared" si="5"/>
        <v>5</v>
      </c>
      <c r="E176" s="13"/>
      <c r="F176" s="13">
        <f t="shared" si="1"/>
        <v>3</v>
      </c>
      <c r="G176" s="14">
        <v>1</v>
      </c>
      <c r="H176" s="14">
        <v>0</v>
      </c>
      <c r="I176" s="14">
        <v>1</v>
      </c>
      <c r="J176" s="14">
        <v>0</v>
      </c>
      <c r="K176" s="14">
        <v>0</v>
      </c>
      <c r="L176" s="14">
        <v>1</v>
      </c>
      <c r="M176" s="15">
        <v>24.359000000000002</v>
      </c>
      <c r="N176" s="16" t="str">
        <f t="shared" si="6"/>
        <v>NE</v>
      </c>
      <c r="O176" s="17">
        <v>7.4</v>
      </c>
      <c r="P176" s="16" t="s">
        <v>137</v>
      </c>
      <c r="Q176" s="18">
        <v>0</v>
      </c>
      <c r="R176" s="19">
        <v>5.68</v>
      </c>
      <c r="S176" s="19">
        <v>4.7</v>
      </c>
      <c r="T176" s="19">
        <v>6.4</v>
      </c>
      <c r="U176" s="20">
        <v>22.03</v>
      </c>
      <c r="V176" s="16" t="s">
        <v>7</v>
      </c>
      <c r="W176" s="21">
        <v>0.54</v>
      </c>
      <c r="X176" s="21">
        <v>0.46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7.24</v>
      </c>
      <c r="AF176" s="21">
        <v>7.11</v>
      </c>
      <c r="AG176" s="21">
        <v>11.4</v>
      </c>
      <c r="AH176" s="18" t="s">
        <v>17</v>
      </c>
      <c r="AI176" s="13" t="str">
        <f>VLOOKUP(AH176,'Hess and Brezowsky'!$B$2:$G$31,2,FALSE)</f>
        <v>Meridional</v>
      </c>
      <c r="AJ176" s="18" t="str">
        <f>VLOOKUP(AH176,'Hess and Brezowsky'!$B$2:$G$31,3,FALSE)</f>
        <v>C</v>
      </c>
      <c r="AK176" s="13" t="str">
        <f>VLOOKUP(AH176,'Hess and Brezowsky'!$B$2:$G$31,4,FALSE)</f>
        <v>Scandinavian High, Trough Central Europe</v>
      </c>
      <c r="AL176" s="29">
        <v>0.30820601851851853</v>
      </c>
      <c r="AM176" s="29">
        <v>0.48682870370370368</v>
      </c>
      <c r="AN176" s="30">
        <v>0.66546296296296292</v>
      </c>
    </row>
    <row r="177" spans="1:40" ht="15.75" customHeight="1" x14ac:dyDescent="0.2">
      <c r="A177" s="27">
        <v>44897</v>
      </c>
      <c r="B177" s="13">
        <v>2022</v>
      </c>
      <c r="C177" s="13">
        <v>336</v>
      </c>
      <c r="D177" s="13">
        <f t="shared" si="5"/>
        <v>6</v>
      </c>
      <c r="E177" s="13"/>
      <c r="F177" s="13">
        <f t="shared" si="1"/>
        <v>3</v>
      </c>
      <c r="G177" s="14">
        <v>1</v>
      </c>
      <c r="H177" s="14">
        <v>0</v>
      </c>
      <c r="I177" s="14">
        <v>1</v>
      </c>
      <c r="J177" s="14">
        <v>0</v>
      </c>
      <c r="K177" s="14">
        <v>0</v>
      </c>
      <c r="L177" s="14">
        <v>1</v>
      </c>
      <c r="M177" s="15">
        <v>33.369999999999997</v>
      </c>
      <c r="N177" s="16" t="str">
        <f t="shared" si="6"/>
        <v>NE</v>
      </c>
      <c r="O177" s="17">
        <v>6.8</v>
      </c>
      <c r="P177" s="16" t="s">
        <v>140</v>
      </c>
      <c r="Q177" s="18">
        <v>2.6</v>
      </c>
      <c r="R177" s="19">
        <v>4.74</v>
      </c>
      <c r="S177" s="19">
        <v>2.8</v>
      </c>
      <c r="T177" s="19">
        <v>5.8</v>
      </c>
      <c r="U177" s="20">
        <v>32.22</v>
      </c>
      <c r="V177" s="16" t="s">
        <v>10</v>
      </c>
      <c r="W177" s="21">
        <v>0.21</v>
      </c>
      <c r="X177" s="21">
        <v>0.79</v>
      </c>
      <c r="Y177" s="21">
        <v>0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7.17</v>
      </c>
      <c r="AF177" s="21">
        <v>7.08</v>
      </c>
      <c r="AG177" s="21">
        <v>12.9</v>
      </c>
      <c r="AH177" s="18" t="s">
        <v>17</v>
      </c>
      <c r="AI177" s="13" t="str">
        <f>VLOOKUP(AH177,'Hess and Brezowsky'!$B$2:$G$31,2,FALSE)</f>
        <v>Meridional</v>
      </c>
      <c r="AJ177" s="18" t="str">
        <f>VLOOKUP(AH177,'Hess and Brezowsky'!$B$2:$G$31,3,FALSE)</f>
        <v>C</v>
      </c>
      <c r="AK177" s="13" t="str">
        <f>VLOOKUP(AH177,'Hess and Brezowsky'!$B$2:$G$31,4,FALSE)</f>
        <v>Scandinavian High, Trough Central Europe</v>
      </c>
      <c r="AL177" s="29">
        <v>0.30908564814814815</v>
      </c>
      <c r="AM177" s="29">
        <v>0.48709490740740741</v>
      </c>
      <c r="AN177" s="30">
        <v>0.66510416666666672</v>
      </c>
    </row>
    <row r="178" spans="1:40" ht="15.75" customHeight="1" x14ac:dyDescent="0.2">
      <c r="A178" s="27">
        <v>44898</v>
      </c>
      <c r="B178" s="13">
        <v>2022</v>
      </c>
      <c r="C178" s="13">
        <v>337</v>
      </c>
      <c r="D178" s="13">
        <f t="shared" si="5"/>
        <v>7</v>
      </c>
      <c r="E178" s="13"/>
      <c r="F178" s="13">
        <f t="shared" si="1"/>
        <v>3</v>
      </c>
      <c r="G178" s="14">
        <v>1</v>
      </c>
      <c r="H178" s="14">
        <v>0</v>
      </c>
      <c r="I178" s="14">
        <v>1</v>
      </c>
      <c r="J178" s="14">
        <v>0</v>
      </c>
      <c r="K178" s="14">
        <v>0</v>
      </c>
      <c r="L178" s="14">
        <v>1</v>
      </c>
      <c r="M178" s="15">
        <v>55.564999999999998</v>
      </c>
      <c r="N178" s="16" t="str">
        <f t="shared" si="6"/>
        <v>NE</v>
      </c>
      <c r="O178" s="17">
        <v>8.3000000000000007</v>
      </c>
      <c r="P178" s="16" t="s">
        <v>140</v>
      </c>
      <c r="Q178" s="18">
        <v>0</v>
      </c>
      <c r="R178" s="19">
        <v>3.46</v>
      </c>
      <c r="S178" s="19">
        <v>2.5</v>
      </c>
      <c r="T178" s="19">
        <v>4.2</v>
      </c>
      <c r="U178" s="20">
        <v>53.43</v>
      </c>
      <c r="V178" s="16" t="s">
        <v>10</v>
      </c>
      <c r="W178" s="21">
        <v>0</v>
      </c>
      <c r="X178" s="21">
        <v>1</v>
      </c>
      <c r="Y178" s="21">
        <v>0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8.48</v>
      </c>
      <c r="AF178" s="21">
        <v>8.44</v>
      </c>
      <c r="AG178" s="21">
        <v>13.8</v>
      </c>
      <c r="AH178" s="18" t="s">
        <v>38</v>
      </c>
      <c r="AI178" s="13" t="str">
        <f>VLOOKUP(AH178,'Hess and Brezowsky'!$B$2:$G$31,2,FALSE)</f>
        <v>Meridional</v>
      </c>
      <c r="AJ178" s="18" t="str">
        <f>VLOOKUP(AH178,'Hess and Brezowsky'!$B$2:$G$31,3,FALSE)</f>
        <v>C</v>
      </c>
      <c r="AK178" s="13" t="str">
        <f>VLOOKUP(AH178,'Hess and Brezowsky'!$B$2:$G$31,4,FALSE)</f>
        <v>High Scandinavia-Iceland, Trough Central Europe</v>
      </c>
      <c r="AL178" s="29">
        <v>0.30995370370370373</v>
      </c>
      <c r="AM178" s="29">
        <v>0.48736111111111113</v>
      </c>
      <c r="AN178" s="30">
        <v>0.66476851851851848</v>
      </c>
    </row>
    <row r="179" spans="1:40" ht="15.75" customHeight="1" x14ac:dyDescent="0.2">
      <c r="A179" s="27">
        <v>44899</v>
      </c>
      <c r="B179" s="13">
        <v>2022</v>
      </c>
      <c r="C179" s="13">
        <v>338</v>
      </c>
      <c r="D179" s="13">
        <f t="shared" si="5"/>
        <v>1</v>
      </c>
      <c r="E179" s="13"/>
      <c r="F179" s="13">
        <f t="shared" si="1"/>
        <v>3</v>
      </c>
      <c r="G179" s="14">
        <v>1</v>
      </c>
      <c r="H179" s="14">
        <v>0</v>
      </c>
      <c r="I179" s="14">
        <v>1</v>
      </c>
      <c r="J179" s="14">
        <v>0</v>
      </c>
      <c r="K179" s="14">
        <v>0</v>
      </c>
      <c r="L179" s="14">
        <v>1</v>
      </c>
      <c r="M179" s="15">
        <v>61.225000000000001</v>
      </c>
      <c r="N179" s="16" t="str">
        <f t="shared" si="6"/>
        <v>NE</v>
      </c>
      <c r="O179" s="17">
        <v>6.1</v>
      </c>
      <c r="P179" s="16" t="s">
        <v>140</v>
      </c>
      <c r="Q179" s="18">
        <v>1.2</v>
      </c>
      <c r="R179" s="19">
        <v>3.51</v>
      </c>
      <c r="S179" s="19">
        <v>2.5</v>
      </c>
      <c r="T179" s="19">
        <v>4.5</v>
      </c>
      <c r="U179" s="20">
        <v>63.25</v>
      </c>
      <c r="V179" s="16" t="s">
        <v>10</v>
      </c>
      <c r="W179" s="21">
        <v>0</v>
      </c>
      <c r="X179" s="21">
        <v>0.57999999999999996</v>
      </c>
      <c r="Y179" s="21">
        <v>0.42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5.7</v>
      </c>
      <c r="AF179" s="21">
        <v>5.54</v>
      </c>
      <c r="AG179" s="21">
        <v>8</v>
      </c>
      <c r="AH179" s="18" t="s">
        <v>38</v>
      </c>
      <c r="AI179" s="13" t="str">
        <f>VLOOKUP(AH179,'Hess and Brezowsky'!$B$2:$G$31,2,FALSE)</f>
        <v>Meridional</v>
      </c>
      <c r="AJ179" s="18" t="str">
        <f>VLOOKUP(AH179,'Hess and Brezowsky'!$B$2:$G$31,3,FALSE)</f>
        <v>C</v>
      </c>
      <c r="AK179" s="13" t="str">
        <f>VLOOKUP(AH179,'Hess and Brezowsky'!$B$2:$G$31,4,FALSE)</f>
        <v>High Scandinavia-Iceland, Trough Central Europe</v>
      </c>
      <c r="AL179" s="29">
        <v>0.31078703703703703</v>
      </c>
      <c r="AM179" s="29">
        <v>0.4876388888888889</v>
      </c>
      <c r="AN179" s="30">
        <v>0.66447916666666662</v>
      </c>
    </row>
    <row r="180" spans="1:40" ht="15.75" customHeight="1" x14ac:dyDescent="0.2">
      <c r="A180" s="27">
        <v>44900</v>
      </c>
      <c r="B180" s="13">
        <v>2022</v>
      </c>
      <c r="C180" s="13">
        <v>339</v>
      </c>
      <c r="D180" s="13">
        <f t="shared" si="5"/>
        <v>2</v>
      </c>
      <c r="E180" s="13"/>
      <c r="F180" s="13">
        <f t="shared" si="1"/>
        <v>2</v>
      </c>
      <c r="G180" s="14">
        <v>0</v>
      </c>
      <c r="H180" s="14">
        <v>0</v>
      </c>
      <c r="I180" s="14">
        <v>1</v>
      </c>
      <c r="J180" s="14">
        <v>0</v>
      </c>
      <c r="K180" s="14">
        <v>0</v>
      </c>
      <c r="L180" s="14">
        <v>1</v>
      </c>
      <c r="M180" s="15">
        <v>349.30599999999998</v>
      </c>
      <c r="N180" s="16" t="str">
        <f t="shared" si="6"/>
        <v>N</v>
      </c>
      <c r="O180" s="17">
        <v>2.9</v>
      </c>
      <c r="P180" s="16" t="s">
        <v>140</v>
      </c>
      <c r="Q180" s="18">
        <v>3.2</v>
      </c>
      <c r="R180" s="19">
        <v>2.67</v>
      </c>
      <c r="S180" s="19">
        <v>1.8</v>
      </c>
      <c r="T180" s="19">
        <v>3.6</v>
      </c>
      <c r="U180" s="20">
        <v>347.82</v>
      </c>
      <c r="V180" s="16" t="s">
        <v>7</v>
      </c>
      <c r="W180" s="21">
        <v>0.5</v>
      </c>
      <c r="X180" s="21">
        <v>0.08</v>
      </c>
      <c r="Y180" s="21">
        <v>0</v>
      </c>
      <c r="Z180" s="21">
        <v>0</v>
      </c>
      <c r="AA180" s="21">
        <v>0</v>
      </c>
      <c r="AB180" s="21">
        <v>0</v>
      </c>
      <c r="AC180" s="21">
        <v>0</v>
      </c>
      <c r="AD180" s="21">
        <v>0.42</v>
      </c>
      <c r="AE180" s="21">
        <v>2.78</v>
      </c>
      <c r="AF180" s="21">
        <v>2.48</v>
      </c>
      <c r="AG180" s="21">
        <v>4.7</v>
      </c>
      <c r="AH180" s="18" t="s">
        <v>38</v>
      </c>
      <c r="AI180" s="13" t="str">
        <f>VLOOKUP(AH180,'Hess and Brezowsky'!$B$2:$G$31,2,FALSE)</f>
        <v>Meridional</v>
      </c>
      <c r="AJ180" s="18" t="str">
        <f>VLOOKUP(AH180,'Hess and Brezowsky'!$B$2:$G$31,3,FALSE)</f>
        <v>C</v>
      </c>
      <c r="AK180" s="13" t="str">
        <f>VLOOKUP(AH180,'Hess and Brezowsky'!$B$2:$G$31,4,FALSE)</f>
        <v>High Scandinavia-Iceland, Trough Central Europe</v>
      </c>
      <c r="AL180" s="29">
        <v>0.31160879629629629</v>
      </c>
      <c r="AM180" s="29">
        <v>0.48791666666666667</v>
      </c>
      <c r="AN180" s="30">
        <v>0.66421296296296295</v>
      </c>
    </row>
    <row r="181" spans="1:40" ht="15.75" customHeight="1" x14ac:dyDescent="0.2">
      <c r="A181" s="27">
        <v>44901</v>
      </c>
      <c r="B181" s="13">
        <v>2022</v>
      </c>
      <c r="C181" s="13">
        <v>340</v>
      </c>
      <c r="D181" s="13">
        <f t="shared" si="5"/>
        <v>3</v>
      </c>
      <c r="E181" s="13"/>
      <c r="F181" s="13">
        <f t="shared" si="1"/>
        <v>3</v>
      </c>
      <c r="G181" s="14">
        <v>1</v>
      </c>
      <c r="H181" s="14">
        <v>0</v>
      </c>
      <c r="I181" s="14">
        <v>0.91</v>
      </c>
      <c r="J181" s="14">
        <v>0</v>
      </c>
      <c r="K181" s="14">
        <v>0</v>
      </c>
      <c r="L181" s="14">
        <v>1</v>
      </c>
      <c r="M181" s="15">
        <v>25.835999999999999</v>
      </c>
      <c r="N181" s="16" t="str">
        <f t="shared" si="6"/>
        <v>NE</v>
      </c>
      <c r="O181" s="17">
        <v>3.9</v>
      </c>
      <c r="P181" s="16" t="s">
        <v>140</v>
      </c>
      <c r="Q181" s="18">
        <v>0</v>
      </c>
      <c r="R181" s="19">
        <v>3.84</v>
      </c>
      <c r="S181" s="19">
        <v>2.5</v>
      </c>
      <c r="T181" s="19">
        <v>5.5</v>
      </c>
      <c r="U181" s="20">
        <v>26.74</v>
      </c>
      <c r="V181" s="16" t="s">
        <v>10</v>
      </c>
      <c r="W181" s="21">
        <v>0.17</v>
      </c>
      <c r="X181" s="21">
        <v>0.75</v>
      </c>
      <c r="Y181" s="21">
        <v>0</v>
      </c>
      <c r="Z181" s="21">
        <v>0</v>
      </c>
      <c r="AA181" s="21">
        <v>0</v>
      </c>
      <c r="AB181" s="21">
        <v>0</v>
      </c>
      <c r="AC181" s="21">
        <v>0</v>
      </c>
      <c r="AD181" s="21">
        <v>0.08</v>
      </c>
      <c r="AE181" s="21">
        <v>3.91</v>
      </c>
      <c r="AF181" s="21">
        <v>3.75</v>
      </c>
      <c r="AG181" s="21">
        <v>7.7</v>
      </c>
      <c r="AH181" s="18" t="s">
        <v>39</v>
      </c>
      <c r="AI181" s="13" t="str">
        <f>VLOOKUP(AH181,'Hess and Brezowsky'!$B$2:$G$31,2,FALSE)</f>
        <v>Meridional</v>
      </c>
      <c r="AJ181" s="18" t="str">
        <f>VLOOKUP(AH181,'Hess and Brezowsky'!$B$2:$G$31,3,FALSE)</f>
        <v>C</v>
      </c>
      <c r="AK181" s="13" t="str">
        <f>VLOOKUP(AH181,'Hess and Brezowsky'!$B$2:$G$31,4,FALSE)</f>
        <v>Icelandic High, Trough Central Europe</v>
      </c>
      <c r="AL181" s="29">
        <v>0.31240740740740741</v>
      </c>
      <c r="AM181" s="29">
        <v>0.48819444444444443</v>
      </c>
      <c r="AN181" s="30">
        <v>0.66398148148148151</v>
      </c>
    </row>
    <row r="182" spans="1:40" ht="15.75" customHeight="1" x14ac:dyDescent="0.2">
      <c r="A182" s="27">
        <v>44902</v>
      </c>
      <c r="B182" s="13">
        <v>2022</v>
      </c>
      <c r="C182" s="13">
        <v>341</v>
      </c>
      <c r="D182" s="13">
        <f t="shared" si="5"/>
        <v>4</v>
      </c>
      <c r="E182" s="13"/>
      <c r="F182" s="13">
        <f t="shared" ref="F182:F245" si="7">IF(G182 &gt; 0.5,1,0)+IF(H182 &gt; 0.5,1,0)+IF(I182 &gt; 0.5,1,0)+IF(J182 &gt; 0.5,1,0)+IF(K182 &gt; 0.5,1,0)+IF(L183 &gt; 0.5,1,0)</f>
        <v>1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5"/>
      <c r="N182" s="16" t="str">
        <f t="shared" si="6"/>
        <v>N</v>
      </c>
      <c r="O182" s="17"/>
      <c r="P182" s="16" t="s">
        <v>138</v>
      </c>
      <c r="Q182" s="18">
        <v>0</v>
      </c>
      <c r="R182" s="19">
        <v>4.32</v>
      </c>
      <c r="S182" s="19">
        <v>1.3</v>
      </c>
      <c r="T182" s="19">
        <v>6.5</v>
      </c>
      <c r="U182" s="20">
        <v>355.6</v>
      </c>
      <c r="V182" s="16" t="s">
        <v>7</v>
      </c>
      <c r="W182" s="21">
        <v>0.71</v>
      </c>
      <c r="X182" s="21">
        <v>0.12</v>
      </c>
      <c r="Y182" s="21">
        <v>0</v>
      </c>
      <c r="Z182" s="21">
        <v>0</v>
      </c>
      <c r="AA182" s="21">
        <v>0</v>
      </c>
      <c r="AB182" s="21">
        <v>0</v>
      </c>
      <c r="AC182" s="21">
        <v>0.04</v>
      </c>
      <c r="AD182" s="21">
        <v>0.12</v>
      </c>
      <c r="AE182" s="21">
        <v>3.06</v>
      </c>
      <c r="AF182" s="21">
        <v>2.86</v>
      </c>
      <c r="AG182" s="21">
        <v>6.5</v>
      </c>
      <c r="AH182" s="18" t="s">
        <v>39</v>
      </c>
      <c r="AI182" s="13" t="str">
        <f>VLOOKUP(AH182,'Hess and Brezowsky'!$B$2:$G$31,2,FALSE)</f>
        <v>Meridional</v>
      </c>
      <c r="AJ182" s="18" t="str">
        <f>VLOOKUP(AH182,'Hess and Brezowsky'!$B$2:$G$31,3,FALSE)</f>
        <v>C</v>
      </c>
      <c r="AK182" s="13" t="str">
        <f>VLOOKUP(AH182,'Hess and Brezowsky'!$B$2:$G$31,4,FALSE)</f>
        <v>Icelandic High, Trough Central Europe</v>
      </c>
      <c r="AL182" s="29">
        <v>0.31318287037037035</v>
      </c>
      <c r="AM182" s="29">
        <v>0.48848379629629629</v>
      </c>
      <c r="AN182" s="30">
        <v>0.66378472222222218</v>
      </c>
    </row>
    <row r="183" spans="1:40" ht="15.75" customHeight="1" x14ac:dyDescent="0.2">
      <c r="A183" s="27">
        <v>44903</v>
      </c>
      <c r="B183" s="13">
        <v>2022</v>
      </c>
      <c r="C183" s="13">
        <v>342</v>
      </c>
      <c r="D183" s="13">
        <f t="shared" si="5"/>
        <v>5</v>
      </c>
      <c r="E183" s="13"/>
      <c r="F183" s="13">
        <f t="shared" si="7"/>
        <v>3</v>
      </c>
      <c r="G183" s="14">
        <v>1</v>
      </c>
      <c r="H183" s="14">
        <v>0</v>
      </c>
      <c r="I183" s="14">
        <v>1</v>
      </c>
      <c r="J183" s="14">
        <v>0</v>
      </c>
      <c r="K183" s="14">
        <v>0</v>
      </c>
      <c r="L183" s="14">
        <v>1</v>
      </c>
      <c r="M183" s="15">
        <v>226.35900000000001</v>
      </c>
      <c r="N183" s="16" t="str">
        <f t="shared" si="6"/>
        <v>SW</v>
      </c>
      <c r="O183" s="17">
        <v>2.4</v>
      </c>
      <c r="P183" s="16" t="s">
        <v>140</v>
      </c>
      <c r="Q183" s="18">
        <v>0</v>
      </c>
      <c r="R183" s="19">
        <v>3.25</v>
      </c>
      <c r="S183" s="19">
        <v>2.1</v>
      </c>
      <c r="T183" s="19">
        <v>4.5999999999999996</v>
      </c>
      <c r="U183" s="20">
        <v>206.89</v>
      </c>
      <c r="V183" s="16" t="s">
        <v>5</v>
      </c>
      <c r="W183" s="21">
        <v>0.04</v>
      </c>
      <c r="X183" s="21">
        <v>0.12</v>
      </c>
      <c r="Y183" s="21">
        <v>0.04</v>
      </c>
      <c r="Z183" s="21">
        <v>0.04</v>
      </c>
      <c r="AA183" s="21">
        <v>0.28999999999999998</v>
      </c>
      <c r="AB183" s="21">
        <v>0.38</v>
      </c>
      <c r="AC183" s="21">
        <v>0.04</v>
      </c>
      <c r="AD183" s="21">
        <v>0.04</v>
      </c>
      <c r="AE183" s="21">
        <v>1.8</v>
      </c>
      <c r="AF183" s="21">
        <v>0.67</v>
      </c>
      <c r="AG183" s="21">
        <v>4.9000000000000004</v>
      </c>
      <c r="AH183" s="18" t="s">
        <v>39</v>
      </c>
      <c r="AI183" s="13" t="str">
        <f>VLOOKUP(AH183,'Hess and Brezowsky'!$B$2:$G$31,2,FALSE)</f>
        <v>Meridional</v>
      </c>
      <c r="AJ183" s="18" t="str">
        <f>VLOOKUP(AH183,'Hess and Brezowsky'!$B$2:$G$31,3,FALSE)</f>
        <v>C</v>
      </c>
      <c r="AK183" s="13" t="str">
        <f>VLOOKUP(AH183,'Hess and Brezowsky'!$B$2:$G$31,4,FALSE)</f>
        <v>Icelandic High, Trough Central Europe</v>
      </c>
      <c r="AL183" s="29">
        <v>0.31393518518518521</v>
      </c>
      <c r="AM183" s="29">
        <v>0.48878472222222225</v>
      </c>
      <c r="AN183" s="30">
        <v>0.66362268518518519</v>
      </c>
    </row>
    <row r="184" spans="1:40" ht="15.75" customHeight="1" x14ac:dyDescent="0.2">
      <c r="A184" s="27">
        <v>44904</v>
      </c>
      <c r="B184" s="13">
        <v>2022</v>
      </c>
      <c r="C184" s="13">
        <v>343</v>
      </c>
      <c r="D184" s="13">
        <f t="shared" si="5"/>
        <v>6</v>
      </c>
      <c r="E184" s="13"/>
      <c r="F184" s="13">
        <f t="shared" si="7"/>
        <v>3</v>
      </c>
      <c r="G184" s="14">
        <v>1</v>
      </c>
      <c r="H184" s="14">
        <v>0</v>
      </c>
      <c r="I184" s="14">
        <v>1</v>
      </c>
      <c r="J184" s="14">
        <v>0</v>
      </c>
      <c r="K184" s="14">
        <v>0</v>
      </c>
      <c r="L184" s="14">
        <v>1</v>
      </c>
      <c r="M184" s="15">
        <v>20.725999999999999</v>
      </c>
      <c r="N184" s="16" t="str">
        <f t="shared" si="6"/>
        <v>N</v>
      </c>
      <c r="O184" s="17">
        <v>4.4000000000000004</v>
      </c>
      <c r="P184" s="16" t="s">
        <v>138</v>
      </c>
      <c r="Q184" s="18">
        <v>0</v>
      </c>
      <c r="R184" s="19">
        <v>2.2599999999999998</v>
      </c>
      <c r="S184" s="19">
        <v>0.2</v>
      </c>
      <c r="T184" s="19">
        <v>3.8</v>
      </c>
      <c r="U184" s="20">
        <v>19.510000000000002</v>
      </c>
      <c r="V184" s="16" t="s">
        <v>7</v>
      </c>
      <c r="W184" s="21">
        <v>0.67</v>
      </c>
      <c r="X184" s="21">
        <v>0.33</v>
      </c>
      <c r="Y184" s="21">
        <v>0</v>
      </c>
      <c r="Z184" s="21">
        <v>0</v>
      </c>
      <c r="AA184" s="21">
        <v>0</v>
      </c>
      <c r="AB184" s="21">
        <v>0</v>
      </c>
      <c r="AC184" s="21">
        <v>0</v>
      </c>
      <c r="AD184" s="21">
        <v>0</v>
      </c>
      <c r="AE184" s="21">
        <v>3.83</v>
      </c>
      <c r="AF184" s="21">
        <v>3.61</v>
      </c>
      <c r="AG184" s="21">
        <v>7.2</v>
      </c>
      <c r="AH184" s="18" t="s">
        <v>39</v>
      </c>
      <c r="AI184" s="13" t="str">
        <f>VLOOKUP(AH184,'Hess and Brezowsky'!$B$2:$G$31,2,FALSE)</f>
        <v>Meridional</v>
      </c>
      <c r="AJ184" s="18" t="str">
        <f>VLOOKUP(AH184,'Hess and Brezowsky'!$B$2:$G$31,3,FALSE)</f>
        <v>C</v>
      </c>
      <c r="AK184" s="13" t="str">
        <f>VLOOKUP(AH184,'Hess and Brezowsky'!$B$2:$G$31,4,FALSE)</f>
        <v>Icelandic High, Trough Central Europe</v>
      </c>
      <c r="AL184" s="29">
        <v>0.31466435185185188</v>
      </c>
      <c r="AM184" s="29">
        <v>0.48908564814814814</v>
      </c>
      <c r="AN184" s="30">
        <v>0.66349537037037032</v>
      </c>
    </row>
    <row r="185" spans="1:40" ht="15.75" customHeight="1" x14ac:dyDescent="0.2">
      <c r="A185" s="27">
        <v>44905</v>
      </c>
      <c r="B185" s="13">
        <v>2022</v>
      </c>
      <c r="C185" s="13">
        <v>344</v>
      </c>
      <c r="D185" s="13">
        <f t="shared" si="5"/>
        <v>7</v>
      </c>
      <c r="E185" s="13"/>
      <c r="F185" s="13">
        <f t="shared" si="7"/>
        <v>3</v>
      </c>
      <c r="G185" s="14">
        <v>1</v>
      </c>
      <c r="H185" s="14">
        <v>0</v>
      </c>
      <c r="I185" s="14">
        <v>0.95</v>
      </c>
      <c r="J185" s="14">
        <v>0</v>
      </c>
      <c r="K185" s="14">
        <v>0</v>
      </c>
      <c r="L185" s="14">
        <v>1</v>
      </c>
      <c r="M185" s="15">
        <v>283.89999999999998</v>
      </c>
      <c r="N185" s="16" t="str">
        <f t="shared" si="6"/>
        <v>W</v>
      </c>
      <c r="O185" s="17">
        <v>3.5</v>
      </c>
      <c r="P185" s="16" t="s">
        <v>137</v>
      </c>
      <c r="Q185" s="18">
        <v>0</v>
      </c>
      <c r="R185" s="19">
        <v>1.75</v>
      </c>
      <c r="S185" s="19">
        <v>-0.8</v>
      </c>
      <c r="T185" s="19">
        <v>4.5999999999999996</v>
      </c>
      <c r="U185" s="20">
        <v>291.52</v>
      </c>
      <c r="V185" s="16" t="s">
        <v>16</v>
      </c>
      <c r="W185" s="21">
        <v>0.28999999999999998</v>
      </c>
      <c r="X185" s="21">
        <v>0</v>
      </c>
      <c r="Y185" s="21">
        <v>0</v>
      </c>
      <c r="Z185" s="21">
        <v>0</v>
      </c>
      <c r="AA185" s="21">
        <v>0.04</v>
      </c>
      <c r="AB185" s="21">
        <v>0.33</v>
      </c>
      <c r="AC185" s="21">
        <v>0.21</v>
      </c>
      <c r="AD185" s="21">
        <v>0.12</v>
      </c>
      <c r="AE185" s="21">
        <v>2.93</v>
      </c>
      <c r="AF185" s="21">
        <v>1.52</v>
      </c>
      <c r="AG185" s="21">
        <v>5.6</v>
      </c>
      <c r="AH185" s="18" t="s">
        <v>39</v>
      </c>
      <c r="AI185" s="13" t="str">
        <f>VLOOKUP(AH185,'Hess and Brezowsky'!$B$2:$G$31,2,FALSE)</f>
        <v>Meridional</v>
      </c>
      <c r="AJ185" s="18" t="str">
        <f>VLOOKUP(AH185,'Hess and Brezowsky'!$B$2:$G$31,3,FALSE)</f>
        <v>C</v>
      </c>
      <c r="AK185" s="13" t="str">
        <f>VLOOKUP(AH185,'Hess and Brezowsky'!$B$2:$G$31,4,FALSE)</f>
        <v>Icelandic High, Trough Central Europe</v>
      </c>
      <c r="AL185" s="29">
        <v>0.31537037037037036</v>
      </c>
      <c r="AM185" s="29">
        <v>0.4893865740740741</v>
      </c>
      <c r="AN185" s="30">
        <v>0.66341435185185182</v>
      </c>
    </row>
    <row r="186" spans="1:40" ht="15.75" customHeight="1" x14ac:dyDescent="0.2">
      <c r="A186" s="27">
        <v>44906</v>
      </c>
      <c r="B186" s="13">
        <v>2022</v>
      </c>
      <c r="C186" s="13">
        <v>345</v>
      </c>
      <c r="D186" s="13">
        <f t="shared" si="5"/>
        <v>1</v>
      </c>
      <c r="E186" s="13"/>
      <c r="F186" s="13">
        <f t="shared" si="7"/>
        <v>3</v>
      </c>
      <c r="G186" s="14">
        <v>1</v>
      </c>
      <c r="H186" s="14">
        <v>0</v>
      </c>
      <c r="I186" s="14">
        <v>1</v>
      </c>
      <c r="J186" s="14">
        <v>0</v>
      </c>
      <c r="K186" s="14">
        <v>0</v>
      </c>
      <c r="L186" s="14">
        <v>1</v>
      </c>
      <c r="M186" s="15">
        <v>171.018</v>
      </c>
      <c r="N186" s="16" t="str">
        <f t="shared" si="6"/>
        <v>S</v>
      </c>
      <c r="O186" s="17">
        <v>4.0999999999999996</v>
      </c>
      <c r="P186" s="16" t="s">
        <v>137</v>
      </c>
      <c r="Q186" s="18">
        <v>0</v>
      </c>
      <c r="R186" s="19">
        <v>-1.41</v>
      </c>
      <c r="S186" s="19">
        <v>-2.2999999999999998</v>
      </c>
      <c r="T186" s="19">
        <v>0</v>
      </c>
      <c r="U186" s="20">
        <v>170.28</v>
      </c>
      <c r="V186" s="16" t="s">
        <v>13</v>
      </c>
      <c r="W186" s="21">
        <v>0</v>
      </c>
      <c r="X186" s="21">
        <v>0</v>
      </c>
      <c r="Y186" s="21">
        <v>0</v>
      </c>
      <c r="Z186" s="21">
        <v>0.25</v>
      </c>
      <c r="AA186" s="21">
        <v>0.75</v>
      </c>
      <c r="AB186" s="21">
        <v>0</v>
      </c>
      <c r="AC186" s="21">
        <v>0</v>
      </c>
      <c r="AD186" s="21">
        <v>0</v>
      </c>
      <c r="AE186" s="21">
        <v>3.88</v>
      </c>
      <c r="AF186" s="21">
        <v>3.74</v>
      </c>
      <c r="AG186" s="21">
        <v>6.3</v>
      </c>
      <c r="AH186" s="18" t="s">
        <v>39</v>
      </c>
      <c r="AI186" s="13" t="str">
        <f>VLOOKUP(AH186,'Hess and Brezowsky'!$B$2:$G$31,2,FALSE)</f>
        <v>Meridional</v>
      </c>
      <c r="AJ186" s="18" t="str">
        <f>VLOOKUP(AH186,'Hess and Brezowsky'!$B$2:$G$31,3,FALSE)</f>
        <v>C</v>
      </c>
      <c r="AK186" s="13" t="str">
        <f>VLOOKUP(AH186,'Hess and Brezowsky'!$B$2:$G$31,4,FALSE)</f>
        <v>Icelandic High, Trough Central Europe</v>
      </c>
      <c r="AL186" s="29">
        <v>0.31604166666666667</v>
      </c>
      <c r="AM186" s="29">
        <v>0.48969907407407409</v>
      </c>
      <c r="AN186" s="30">
        <v>0.66335648148148152</v>
      </c>
    </row>
    <row r="187" spans="1:40" ht="15.75" customHeight="1" x14ac:dyDescent="0.2">
      <c r="A187" s="27">
        <v>44907</v>
      </c>
      <c r="B187" s="13">
        <v>2022</v>
      </c>
      <c r="C187" s="13">
        <v>346</v>
      </c>
      <c r="D187" s="13">
        <f t="shared" si="5"/>
        <v>2</v>
      </c>
      <c r="E187" s="13"/>
      <c r="F187" s="13">
        <f t="shared" si="7"/>
        <v>3</v>
      </c>
      <c r="G187" s="14">
        <v>1</v>
      </c>
      <c r="H187" s="14">
        <v>0</v>
      </c>
      <c r="I187" s="14">
        <v>1</v>
      </c>
      <c r="J187" s="14">
        <v>0</v>
      </c>
      <c r="K187" s="14">
        <v>0</v>
      </c>
      <c r="L187" s="14">
        <v>1</v>
      </c>
      <c r="M187" s="15">
        <v>111.902</v>
      </c>
      <c r="N187" s="16" t="str">
        <f t="shared" si="6"/>
        <v>E</v>
      </c>
      <c r="O187" s="17">
        <v>5.5</v>
      </c>
      <c r="P187" s="16" t="s">
        <v>137</v>
      </c>
      <c r="Q187" s="18">
        <v>0</v>
      </c>
      <c r="R187" s="19">
        <v>-1.39</v>
      </c>
      <c r="S187" s="19">
        <v>-2.2000000000000002</v>
      </c>
      <c r="T187" s="19">
        <v>0.1</v>
      </c>
      <c r="U187" s="20">
        <v>115.4</v>
      </c>
      <c r="V187" s="16" t="s">
        <v>11</v>
      </c>
      <c r="W187" s="21">
        <v>0</v>
      </c>
      <c r="X187" s="21">
        <v>0</v>
      </c>
      <c r="Y187" s="21">
        <v>0.38</v>
      </c>
      <c r="Z187" s="21">
        <v>0.62</v>
      </c>
      <c r="AA187" s="21">
        <v>0</v>
      </c>
      <c r="AB187" s="21">
        <v>0</v>
      </c>
      <c r="AC187" s="21">
        <v>0</v>
      </c>
      <c r="AD187" s="21">
        <v>0</v>
      </c>
      <c r="AE187" s="21">
        <v>4.92</v>
      </c>
      <c r="AF187" s="21">
        <v>4.66</v>
      </c>
      <c r="AG187" s="21">
        <v>9.6999999999999993</v>
      </c>
      <c r="AH187" s="18" t="s">
        <v>34</v>
      </c>
      <c r="AI187" s="13" t="str">
        <f>VLOOKUP(AH187,'Hess and Brezowsky'!$B$2:$G$31,2,FALSE)</f>
        <v>Meridional</v>
      </c>
      <c r="AJ187" s="18" t="str">
        <f>VLOOKUP(AH187,'Hess and Brezowsky'!$B$2:$G$31,3,FALSE)</f>
        <v>A</v>
      </c>
      <c r="AK187" s="13" t="str">
        <f>VLOOKUP(AH187,'Hess and Brezowsky'!$B$2:$G$31,4,FALSE)</f>
        <v>Icelandic High, Ride Central Europe</v>
      </c>
      <c r="AL187" s="29">
        <v>0.31668981481481484</v>
      </c>
      <c r="AM187" s="29">
        <v>0.49001157407407409</v>
      </c>
      <c r="AN187" s="30">
        <v>0.66333333333333333</v>
      </c>
    </row>
    <row r="188" spans="1:40" ht="15.75" customHeight="1" x14ac:dyDescent="0.2">
      <c r="A188" s="27">
        <v>44908</v>
      </c>
      <c r="B188" s="13">
        <v>2022</v>
      </c>
      <c r="C188" s="13">
        <v>347</v>
      </c>
      <c r="D188" s="13">
        <f t="shared" si="5"/>
        <v>3</v>
      </c>
      <c r="E188" s="13"/>
      <c r="F188" s="13">
        <f t="shared" si="7"/>
        <v>3</v>
      </c>
      <c r="G188" s="14">
        <v>1</v>
      </c>
      <c r="H188" s="14">
        <v>0</v>
      </c>
      <c r="I188" s="14">
        <v>0.83</v>
      </c>
      <c r="J188" s="14">
        <v>0</v>
      </c>
      <c r="K188" s="14">
        <v>0</v>
      </c>
      <c r="L188" s="14">
        <v>1</v>
      </c>
      <c r="M188" s="15">
        <v>94.268000000000001</v>
      </c>
      <c r="N188" s="16" t="str">
        <f t="shared" si="6"/>
        <v>E</v>
      </c>
      <c r="O188" s="17">
        <v>7.5</v>
      </c>
      <c r="P188" s="16" t="s">
        <v>137</v>
      </c>
      <c r="Q188" s="18">
        <v>0</v>
      </c>
      <c r="R188" s="19">
        <v>-0.56000000000000005</v>
      </c>
      <c r="S188" s="19">
        <v>-2.7</v>
      </c>
      <c r="T188" s="19">
        <v>2</v>
      </c>
      <c r="U188" s="20">
        <v>98.52</v>
      </c>
      <c r="V188" s="16" t="s">
        <v>9</v>
      </c>
      <c r="W188" s="21">
        <v>0</v>
      </c>
      <c r="X188" s="21">
        <v>0</v>
      </c>
      <c r="Y188" s="21">
        <v>0.79</v>
      </c>
      <c r="Z188" s="21">
        <v>0.21</v>
      </c>
      <c r="AA188" s="21">
        <v>0</v>
      </c>
      <c r="AB188" s="21">
        <v>0</v>
      </c>
      <c r="AC188" s="21">
        <v>0</v>
      </c>
      <c r="AD188" s="21">
        <v>0</v>
      </c>
      <c r="AE188" s="21">
        <v>6.31</v>
      </c>
      <c r="AF188" s="21">
        <v>6.11</v>
      </c>
      <c r="AG188" s="21">
        <v>9.1999999999999993</v>
      </c>
      <c r="AH188" s="18" t="s">
        <v>34</v>
      </c>
      <c r="AI188" s="13" t="str">
        <f>VLOOKUP(AH188,'Hess and Brezowsky'!$B$2:$G$31,2,FALSE)</f>
        <v>Meridional</v>
      </c>
      <c r="AJ188" s="18" t="str">
        <f>VLOOKUP(AH188,'Hess and Brezowsky'!$B$2:$G$31,3,FALSE)</f>
        <v>A</v>
      </c>
      <c r="AK188" s="13" t="str">
        <f>VLOOKUP(AH188,'Hess and Brezowsky'!$B$2:$G$31,4,FALSE)</f>
        <v>Icelandic High, Ride Central Europe</v>
      </c>
      <c r="AL188" s="29">
        <v>0.31731481481481483</v>
      </c>
      <c r="AM188" s="29">
        <v>0.49032407407407408</v>
      </c>
      <c r="AN188" s="30">
        <v>0.66334490740740737</v>
      </c>
    </row>
    <row r="189" spans="1:40" ht="15.75" customHeight="1" x14ac:dyDescent="0.2">
      <c r="A189" s="27">
        <v>44909</v>
      </c>
      <c r="B189" s="13">
        <v>2022</v>
      </c>
      <c r="C189" s="13">
        <v>348</v>
      </c>
      <c r="D189" s="13">
        <f t="shared" si="5"/>
        <v>4</v>
      </c>
      <c r="E189" s="13"/>
      <c r="F189" s="13">
        <f t="shared" si="7"/>
        <v>3</v>
      </c>
      <c r="G189" s="14">
        <v>1</v>
      </c>
      <c r="H189" s="14">
        <v>0</v>
      </c>
      <c r="I189" s="14">
        <v>1</v>
      </c>
      <c r="J189" s="14">
        <v>0</v>
      </c>
      <c r="K189" s="14">
        <v>0</v>
      </c>
      <c r="L189" s="14">
        <v>1</v>
      </c>
      <c r="M189" s="15">
        <v>42.064999999999998</v>
      </c>
      <c r="N189" s="16" t="str">
        <f t="shared" si="6"/>
        <v>NE</v>
      </c>
      <c r="O189" s="17">
        <v>3.6</v>
      </c>
      <c r="P189" s="16" t="s">
        <v>137</v>
      </c>
      <c r="Q189" s="18">
        <v>0.2</v>
      </c>
      <c r="R189" s="19">
        <v>0.86</v>
      </c>
      <c r="S189" s="19">
        <v>-0.4</v>
      </c>
      <c r="T189" s="19">
        <v>2.4</v>
      </c>
      <c r="U189" s="20">
        <v>39.9</v>
      </c>
      <c r="V189" s="16" t="s">
        <v>10</v>
      </c>
      <c r="W189" s="21">
        <v>0.08</v>
      </c>
      <c r="X189" s="21">
        <v>0.83</v>
      </c>
      <c r="Y189" s="21">
        <v>0.04</v>
      </c>
      <c r="Z189" s="21">
        <v>0.04</v>
      </c>
      <c r="AA189" s="21">
        <v>0</v>
      </c>
      <c r="AB189" s="21">
        <v>0</v>
      </c>
      <c r="AC189" s="21">
        <v>0</v>
      </c>
      <c r="AD189" s="21">
        <v>0</v>
      </c>
      <c r="AE189" s="21">
        <v>3.13</v>
      </c>
      <c r="AF189" s="21">
        <v>2.86</v>
      </c>
      <c r="AG189" s="21">
        <v>4.7</v>
      </c>
      <c r="AH189" s="18" t="s">
        <v>34</v>
      </c>
      <c r="AI189" s="13" t="str">
        <f>VLOOKUP(AH189,'Hess and Brezowsky'!$B$2:$G$31,2,FALSE)</f>
        <v>Meridional</v>
      </c>
      <c r="AJ189" s="18" t="str">
        <f>VLOOKUP(AH189,'Hess and Brezowsky'!$B$2:$G$31,3,FALSE)</f>
        <v>A</v>
      </c>
      <c r="AK189" s="13" t="str">
        <f>VLOOKUP(AH189,'Hess and Brezowsky'!$B$2:$G$31,4,FALSE)</f>
        <v>Icelandic High, Ride Central Europe</v>
      </c>
      <c r="AL189" s="29">
        <v>0.31790509259259259</v>
      </c>
      <c r="AM189" s="29">
        <v>0.49064814814814817</v>
      </c>
      <c r="AN189" s="30">
        <v>0.66339120370370375</v>
      </c>
    </row>
    <row r="190" spans="1:40" ht="15.75" customHeight="1" x14ac:dyDescent="0.2">
      <c r="A190" s="27">
        <v>44910</v>
      </c>
      <c r="B190" s="13">
        <v>2022</v>
      </c>
      <c r="C190" s="13">
        <v>349</v>
      </c>
      <c r="D190" s="13">
        <f t="shared" si="5"/>
        <v>5</v>
      </c>
      <c r="E190" s="13"/>
      <c r="F190" s="13">
        <f t="shared" si="7"/>
        <v>3</v>
      </c>
      <c r="G190" s="14">
        <v>1</v>
      </c>
      <c r="H190" s="14">
        <v>0</v>
      </c>
      <c r="I190" s="14">
        <v>0.83</v>
      </c>
      <c r="J190" s="14">
        <v>0</v>
      </c>
      <c r="K190" s="14">
        <v>0</v>
      </c>
      <c r="L190" s="14">
        <v>1</v>
      </c>
      <c r="M190" s="15">
        <v>42.045000000000002</v>
      </c>
      <c r="N190" s="16" t="str">
        <f t="shared" si="6"/>
        <v>NE</v>
      </c>
      <c r="O190" s="17">
        <v>8.9</v>
      </c>
      <c r="P190" s="16" t="s">
        <v>137</v>
      </c>
      <c r="Q190" s="18">
        <v>0</v>
      </c>
      <c r="R190" s="19">
        <v>0.01</v>
      </c>
      <c r="S190" s="19">
        <v>-2</v>
      </c>
      <c r="T190" s="19">
        <v>2.4</v>
      </c>
      <c r="U190" s="20">
        <v>44.12</v>
      </c>
      <c r="V190" s="16" t="s">
        <v>10</v>
      </c>
      <c r="W190" s="21">
        <v>0.04</v>
      </c>
      <c r="X190" s="21">
        <v>0.88</v>
      </c>
      <c r="Y190" s="21">
        <v>0.08</v>
      </c>
      <c r="Z190" s="21">
        <v>0</v>
      </c>
      <c r="AA190" s="21">
        <v>0</v>
      </c>
      <c r="AB190" s="21">
        <v>0</v>
      </c>
      <c r="AC190" s="21">
        <v>0</v>
      </c>
      <c r="AD190" s="21">
        <v>0</v>
      </c>
      <c r="AE190" s="21">
        <v>9.85</v>
      </c>
      <c r="AF190" s="21">
        <v>9.5500000000000007</v>
      </c>
      <c r="AG190" s="21">
        <v>17</v>
      </c>
      <c r="AH190" s="18" t="s">
        <v>30</v>
      </c>
      <c r="AI190" s="13" t="str">
        <f>VLOOKUP(AH190,'Hess and Brezowsky'!$B$2:$G$31,2,FALSE)</f>
        <v>Meridional</v>
      </c>
      <c r="AJ190" s="18" t="str">
        <f>VLOOKUP(AH190,'Hess and Brezowsky'!$B$2:$G$31,3,FALSE)</f>
        <v>M</v>
      </c>
      <c r="AK190" s="13" t="str">
        <f>VLOOKUP(AH190,'Hess and Brezowsky'!$B$2:$G$31,4,FALSE)</f>
        <v>Trough over Central Europe</v>
      </c>
      <c r="AL190" s="29">
        <v>0.31847222222222221</v>
      </c>
      <c r="AM190" s="29">
        <v>0.4909722222222222</v>
      </c>
      <c r="AN190" s="30">
        <v>0.66347222222222224</v>
      </c>
    </row>
    <row r="191" spans="1:40" ht="15.75" customHeight="1" x14ac:dyDescent="0.2">
      <c r="A191" s="27">
        <v>44911</v>
      </c>
      <c r="B191" s="13">
        <v>2022</v>
      </c>
      <c r="C191" s="13">
        <v>350</v>
      </c>
      <c r="D191" s="13">
        <f t="shared" si="5"/>
        <v>6</v>
      </c>
      <c r="E191" s="13"/>
      <c r="F191" s="13">
        <f t="shared" si="7"/>
        <v>3</v>
      </c>
      <c r="G191" s="14">
        <v>1</v>
      </c>
      <c r="H191" s="14">
        <v>0</v>
      </c>
      <c r="I191" s="14">
        <v>0.91</v>
      </c>
      <c r="J191" s="14">
        <v>0</v>
      </c>
      <c r="K191" s="14">
        <v>0</v>
      </c>
      <c r="L191" s="14">
        <v>1</v>
      </c>
      <c r="M191" s="15">
        <v>28.986999999999998</v>
      </c>
      <c r="N191" s="16" t="str">
        <f t="shared" si="6"/>
        <v>NE</v>
      </c>
      <c r="O191" s="17">
        <v>6.7</v>
      </c>
      <c r="P191" s="16" t="s">
        <v>138</v>
      </c>
      <c r="Q191" s="18">
        <v>0</v>
      </c>
      <c r="R191" s="19">
        <v>0.05</v>
      </c>
      <c r="S191" s="19">
        <v>-1.6</v>
      </c>
      <c r="T191" s="19">
        <v>1.6</v>
      </c>
      <c r="U191" s="20">
        <v>26.46</v>
      </c>
      <c r="V191" s="16" t="s">
        <v>10</v>
      </c>
      <c r="W191" s="21">
        <v>0.38</v>
      </c>
      <c r="X191" s="21">
        <v>0.54</v>
      </c>
      <c r="Y191" s="21">
        <v>0.08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7.18</v>
      </c>
      <c r="AF191" s="21">
        <v>6.91</v>
      </c>
      <c r="AG191" s="21">
        <v>13.1</v>
      </c>
      <c r="AH191" s="18" t="s">
        <v>30</v>
      </c>
      <c r="AI191" s="13" t="str">
        <f>VLOOKUP(AH191,'Hess and Brezowsky'!$B$2:$G$31,2,FALSE)</f>
        <v>Meridional</v>
      </c>
      <c r="AJ191" s="18" t="str">
        <f>VLOOKUP(AH191,'Hess and Brezowsky'!$B$2:$G$31,3,FALSE)</f>
        <v>M</v>
      </c>
      <c r="AK191" s="13" t="str">
        <f>VLOOKUP(AH191,'Hess and Brezowsky'!$B$2:$G$31,4,FALSE)</f>
        <v>Trough over Central Europe</v>
      </c>
      <c r="AL191" s="29">
        <v>0.31900462962962961</v>
      </c>
      <c r="AM191" s="29">
        <v>0.49129629629629629</v>
      </c>
      <c r="AN191" s="30">
        <v>0.66358796296296296</v>
      </c>
    </row>
    <row r="192" spans="1:40" ht="15.75" customHeight="1" x14ac:dyDescent="0.2">
      <c r="A192" s="27">
        <v>44912</v>
      </c>
      <c r="B192" s="13">
        <v>2022</v>
      </c>
      <c r="C192" s="13">
        <v>351</v>
      </c>
      <c r="D192" s="13">
        <f t="shared" si="5"/>
        <v>7</v>
      </c>
      <c r="E192" s="13"/>
      <c r="F192" s="13">
        <f t="shared" si="7"/>
        <v>3</v>
      </c>
      <c r="G192" s="14">
        <v>1</v>
      </c>
      <c r="H192" s="14">
        <v>0</v>
      </c>
      <c r="I192" s="14">
        <v>1</v>
      </c>
      <c r="J192" s="14">
        <v>0</v>
      </c>
      <c r="K192" s="14">
        <v>0</v>
      </c>
      <c r="L192" s="14">
        <v>1</v>
      </c>
      <c r="M192" s="15">
        <v>116.60299999999999</v>
      </c>
      <c r="N192" s="16" t="str">
        <f t="shared" si="6"/>
        <v>SE</v>
      </c>
      <c r="O192" s="17">
        <v>4.2</v>
      </c>
      <c r="P192" s="16" t="s">
        <v>137</v>
      </c>
      <c r="Q192" s="18">
        <v>0</v>
      </c>
      <c r="R192" s="19">
        <v>-1.68</v>
      </c>
      <c r="S192" s="19">
        <v>-4.4000000000000004</v>
      </c>
      <c r="T192" s="19">
        <v>-0.4</v>
      </c>
      <c r="U192" s="20">
        <v>125.19</v>
      </c>
      <c r="V192" s="16" t="s">
        <v>11</v>
      </c>
      <c r="W192" s="21">
        <v>0</v>
      </c>
      <c r="X192" s="21">
        <v>0</v>
      </c>
      <c r="Y192" s="21">
        <v>0.21</v>
      </c>
      <c r="Z192" s="21">
        <v>0.79</v>
      </c>
      <c r="AA192" s="21">
        <v>0</v>
      </c>
      <c r="AB192" s="21">
        <v>0</v>
      </c>
      <c r="AC192" s="21">
        <v>0</v>
      </c>
      <c r="AD192" s="21">
        <v>0</v>
      </c>
      <c r="AE192" s="21">
        <v>4.0599999999999996</v>
      </c>
      <c r="AF192" s="21">
        <v>3.98</v>
      </c>
      <c r="AG192" s="21">
        <v>11.9</v>
      </c>
      <c r="AH192" s="18" t="s">
        <v>30</v>
      </c>
      <c r="AI192" s="13" t="str">
        <f>VLOOKUP(AH192,'Hess and Brezowsky'!$B$2:$G$31,2,FALSE)</f>
        <v>Meridional</v>
      </c>
      <c r="AJ192" s="18" t="str">
        <f>VLOOKUP(AH192,'Hess and Brezowsky'!$B$2:$G$31,3,FALSE)</f>
        <v>M</v>
      </c>
      <c r="AK192" s="13" t="str">
        <f>VLOOKUP(AH192,'Hess and Brezowsky'!$B$2:$G$31,4,FALSE)</f>
        <v>Trough over Central Europe</v>
      </c>
      <c r="AL192" s="29">
        <v>0.31950231481481484</v>
      </c>
      <c r="AM192" s="29">
        <v>0.49162037037037037</v>
      </c>
      <c r="AN192" s="30">
        <v>0.66373842592592591</v>
      </c>
    </row>
    <row r="193" spans="1:40" ht="15.75" customHeight="1" x14ac:dyDescent="0.2">
      <c r="A193" s="27">
        <v>44913</v>
      </c>
      <c r="B193" s="13">
        <v>2022</v>
      </c>
      <c r="C193" s="13">
        <v>352</v>
      </c>
      <c r="D193" s="13">
        <f t="shared" si="5"/>
        <v>1</v>
      </c>
      <c r="E193" s="13"/>
      <c r="F193" s="13">
        <f t="shared" si="7"/>
        <v>3</v>
      </c>
      <c r="G193" s="14">
        <v>1</v>
      </c>
      <c r="H193" s="14">
        <v>0</v>
      </c>
      <c r="I193" s="14">
        <v>1</v>
      </c>
      <c r="J193" s="14">
        <v>0</v>
      </c>
      <c r="K193" s="14">
        <v>0</v>
      </c>
      <c r="L193" s="14">
        <v>1</v>
      </c>
      <c r="M193" s="15">
        <v>169.608</v>
      </c>
      <c r="N193" s="16" t="str">
        <f t="shared" si="6"/>
        <v>S</v>
      </c>
      <c r="O193" s="17">
        <v>11</v>
      </c>
      <c r="P193" s="16" t="s">
        <v>137</v>
      </c>
      <c r="Q193" s="18">
        <v>4.2</v>
      </c>
      <c r="R193" s="19">
        <v>-1.1499999999999999</v>
      </c>
      <c r="S193" s="19">
        <v>-5</v>
      </c>
      <c r="T193" s="19">
        <v>4.5</v>
      </c>
      <c r="U193" s="20">
        <v>176.22</v>
      </c>
      <c r="V193" s="16" t="s">
        <v>13</v>
      </c>
      <c r="W193" s="21">
        <v>0</v>
      </c>
      <c r="X193" s="21">
        <v>0</v>
      </c>
      <c r="Y193" s="21">
        <v>0</v>
      </c>
      <c r="Z193" s="21">
        <v>0.17</v>
      </c>
      <c r="AA193" s="21">
        <v>0.83</v>
      </c>
      <c r="AB193" s="21">
        <v>0</v>
      </c>
      <c r="AC193" s="21">
        <v>0</v>
      </c>
      <c r="AD193" s="21">
        <v>0</v>
      </c>
      <c r="AE193" s="21">
        <v>12.95</v>
      </c>
      <c r="AF193" s="21">
        <v>12.25</v>
      </c>
      <c r="AG193" s="21">
        <v>18</v>
      </c>
      <c r="AH193" s="18" t="s">
        <v>33</v>
      </c>
      <c r="AI193" s="13" t="str">
        <f>VLOOKUP(AH193,'Hess and Brezowsky'!$B$2:$G$31,2,FALSE)</f>
        <v>Mixed</v>
      </c>
      <c r="AJ193" s="18" t="str">
        <f>VLOOKUP(AH193,'Hess and Brezowsky'!$B$2:$G$31,3,FALSE)</f>
        <v>C</v>
      </c>
      <c r="AK193" s="13" t="str">
        <f>VLOOKUP(AH193,'Hess and Brezowsky'!$B$2:$G$31,4,FALSE)</f>
        <v>Cyclonic South-Westerly</v>
      </c>
      <c r="AL193" s="29">
        <v>0.31997685185185187</v>
      </c>
      <c r="AM193" s="29">
        <v>0.4919560185185185</v>
      </c>
      <c r="AN193" s="30">
        <v>0.66392361111111109</v>
      </c>
    </row>
    <row r="194" spans="1:40" ht="15.75" customHeight="1" x14ac:dyDescent="0.2">
      <c r="A194" s="27">
        <v>44914</v>
      </c>
      <c r="B194" s="13">
        <v>2022</v>
      </c>
      <c r="C194" s="13">
        <v>353</v>
      </c>
      <c r="D194" s="13">
        <f t="shared" ref="D194:D257" si="8">WEEKDAY(A194)</f>
        <v>2</v>
      </c>
      <c r="E194" s="13"/>
      <c r="F194" s="13">
        <f t="shared" si="7"/>
        <v>3</v>
      </c>
      <c r="G194" s="14">
        <v>1</v>
      </c>
      <c r="H194" s="14">
        <v>0</v>
      </c>
      <c r="I194" s="14">
        <v>1</v>
      </c>
      <c r="J194" s="14">
        <v>0</v>
      </c>
      <c r="K194" s="14">
        <v>0</v>
      </c>
      <c r="L194" s="14">
        <v>1</v>
      </c>
      <c r="M194" s="15">
        <v>199.55799999999999</v>
      </c>
      <c r="N194" s="16" t="str">
        <f t="shared" ref="N194:N257" si="9">IF(AND(M194 &gt; 22.5,M194&lt;=67.6),"NE",IF(AND(M194 &gt; 67.5,M194&lt;=112.5),"E",IF(AND(M194 &gt; 112.5,M194&lt;=157.5),"SE",IF(AND(M194 &gt; 157.5,M194&lt;=202.5),"S",IF(AND(M194 &gt; 202.5,M194&lt;=247.5),"SW",IF(AND(M194 &gt; 247.5,M194&lt;=292.5),"W",IF(AND(M194 &gt; 292.5,M194&lt;=337.5),"NW",IF(AND(M194 &gt; 22.5,M194&lt;=360),"N","N"))))))))</f>
        <v>S</v>
      </c>
      <c r="O194" s="17">
        <v>13.5</v>
      </c>
      <c r="P194" s="16" t="s">
        <v>140</v>
      </c>
      <c r="Q194" s="18">
        <v>0.8</v>
      </c>
      <c r="R194" s="19">
        <v>9.0500000000000007</v>
      </c>
      <c r="S194" s="19">
        <v>4.5</v>
      </c>
      <c r="T194" s="19">
        <v>12.4</v>
      </c>
      <c r="U194" s="20">
        <v>199.19</v>
      </c>
      <c r="V194" s="16" t="s">
        <v>13</v>
      </c>
      <c r="W194" s="21">
        <v>0</v>
      </c>
      <c r="X194" s="21">
        <v>0</v>
      </c>
      <c r="Y194" s="21">
        <v>0</v>
      </c>
      <c r="Z194" s="21">
        <v>0</v>
      </c>
      <c r="AA194" s="21">
        <v>1</v>
      </c>
      <c r="AB194" s="21">
        <v>0</v>
      </c>
      <c r="AC194" s="21">
        <v>0</v>
      </c>
      <c r="AD194" s="21">
        <v>0</v>
      </c>
      <c r="AE194" s="21">
        <v>13.64</v>
      </c>
      <c r="AF194" s="21">
        <v>13.63</v>
      </c>
      <c r="AG194" s="21">
        <v>17.5</v>
      </c>
      <c r="AH194" s="18" t="s">
        <v>33</v>
      </c>
      <c r="AI194" s="13" t="str">
        <f>VLOOKUP(AH194,'Hess and Brezowsky'!$B$2:$G$31,2,FALSE)</f>
        <v>Mixed</v>
      </c>
      <c r="AJ194" s="18" t="str">
        <f>VLOOKUP(AH194,'Hess and Brezowsky'!$B$2:$G$31,3,FALSE)</f>
        <v>C</v>
      </c>
      <c r="AK194" s="13" t="str">
        <f>VLOOKUP(AH194,'Hess and Brezowsky'!$B$2:$G$31,4,FALSE)</f>
        <v>Cyclonic South-Westerly</v>
      </c>
      <c r="AL194" s="29">
        <v>0.32041666666666668</v>
      </c>
      <c r="AM194" s="29">
        <v>0.49228009259259259</v>
      </c>
      <c r="AN194" s="30">
        <v>0.66415509259259264</v>
      </c>
    </row>
    <row r="195" spans="1:40" ht="15.75" customHeight="1" x14ac:dyDescent="0.2">
      <c r="A195" s="27">
        <v>44915</v>
      </c>
      <c r="B195" s="13">
        <v>2022</v>
      </c>
      <c r="C195" s="13">
        <v>354</v>
      </c>
      <c r="D195" s="13">
        <f t="shared" si="8"/>
        <v>3</v>
      </c>
      <c r="E195" s="13"/>
      <c r="F195" s="13">
        <f t="shared" si="7"/>
        <v>3</v>
      </c>
      <c r="G195" s="14">
        <v>1</v>
      </c>
      <c r="H195" s="14">
        <v>0</v>
      </c>
      <c r="I195" s="14">
        <v>1</v>
      </c>
      <c r="J195" s="14">
        <v>0</v>
      </c>
      <c r="K195" s="14">
        <v>0</v>
      </c>
      <c r="L195" s="14">
        <v>1</v>
      </c>
      <c r="M195" s="15">
        <v>209.83600000000001</v>
      </c>
      <c r="N195" s="16" t="str">
        <f t="shared" si="9"/>
        <v>SW</v>
      </c>
      <c r="O195" s="17">
        <v>11.1</v>
      </c>
      <c r="P195" s="16" t="s">
        <v>140</v>
      </c>
      <c r="Q195" s="18">
        <v>7</v>
      </c>
      <c r="R195" s="19">
        <v>11.21</v>
      </c>
      <c r="S195" s="19">
        <v>10.5</v>
      </c>
      <c r="T195" s="19">
        <v>11.8</v>
      </c>
      <c r="U195" s="20">
        <v>204.83</v>
      </c>
      <c r="V195" s="16" t="s">
        <v>5</v>
      </c>
      <c r="W195" s="21">
        <v>0</v>
      </c>
      <c r="X195" s="21">
        <v>0</v>
      </c>
      <c r="Y195" s="21">
        <v>0</v>
      </c>
      <c r="Z195" s="21">
        <v>0</v>
      </c>
      <c r="AA195" s="21">
        <v>0.57999999999999996</v>
      </c>
      <c r="AB195" s="21">
        <v>0.42</v>
      </c>
      <c r="AC195" s="21">
        <v>0</v>
      </c>
      <c r="AD195" s="21">
        <v>0</v>
      </c>
      <c r="AE195" s="21">
        <v>10.79</v>
      </c>
      <c r="AF195" s="21">
        <v>10.69</v>
      </c>
      <c r="AG195" s="21">
        <v>14.2</v>
      </c>
      <c r="AH195" s="18" t="s">
        <v>33</v>
      </c>
      <c r="AI195" s="13" t="str">
        <f>VLOOKUP(AH195,'Hess and Brezowsky'!$B$2:$G$31,2,FALSE)</f>
        <v>Mixed</v>
      </c>
      <c r="AJ195" s="18" t="str">
        <f>VLOOKUP(AH195,'Hess and Brezowsky'!$B$2:$G$31,3,FALSE)</f>
        <v>C</v>
      </c>
      <c r="AK195" s="13" t="str">
        <f>VLOOKUP(AH195,'Hess and Brezowsky'!$B$2:$G$31,4,FALSE)</f>
        <v>Cyclonic South-Westerly</v>
      </c>
      <c r="AL195" s="29">
        <v>0.32082175925925926</v>
      </c>
      <c r="AM195" s="29">
        <v>0.49261574074074072</v>
      </c>
      <c r="AN195" s="30">
        <v>0.66440972222222228</v>
      </c>
    </row>
    <row r="196" spans="1:40" ht="15.75" customHeight="1" x14ac:dyDescent="0.2">
      <c r="A196" s="27">
        <v>44916</v>
      </c>
      <c r="B196" s="13">
        <v>2022</v>
      </c>
      <c r="C196" s="13">
        <v>355</v>
      </c>
      <c r="D196" s="13">
        <f t="shared" si="8"/>
        <v>4</v>
      </c>
      <c r="E196" s="13"/>
      <c r="F196" s="13">
        <f t="shared" si="7"/>
        <v>3</v>
      </c>
      <c r="G196" s="14">
        <v>1</v>
      </c>
      <c r="H196" s="14">
        <v>0</v>
      </c>
      <c r="I196" s="14">
        <v>0.95</v>
      </c>
      <c r="J196" s="14">
        <v>0</v>
      </c>
      <c r="K196" s="14">
        <v>0</v>
      </c>
      <c r="L196" s="14">
        <v>1</v>
      </c>
      <c r="M196" s="15">
        <v>220.88399999999999</v>
      </c>
      <c r="N196" s="16" t="str">
        <f t="shared" si="9"/>
        <v>SW</v>
      </c>
      <c r="O196" s="17">
        <v>10.6</v>
      </c>
      <c r="P196" s="16" t="s">
        <v>140</v>
      </c>
      <c r="Q196" s="18">
        <v>7.3</v>
      </c>
      <c r="R196" s="19">
        <v>10.59</v>
      </c>
      <c r="S196" s="19">
        <v>7.9</v>
      </c>
      <c r="T196" s="19">
        <v>12.4</v>
      </c>
      <c r="U196" s="20">
        <v>221.99</v>
      </c>
      <c r="V196" s="16" t="s">
        <v>5</v>
      </c>
      <c r="W196" s="21">
        <v>0</v>
      </c>
      <c r="X196" s="21">
        <v>0</v>
      </c>
      <c r="Y196" s="21">
        <v>0</v>
      </c>
      <c r="Z196" s="21">
        <v>0</v>
      </c>
      <c r="AA196" s="21">
        <v>0.33</v>
      </c>
      <c r="AB196" s="21">
        <v>0.5</v>
      </c>
      <c r="AC196" s="21">
        <v>0.17</v>
      </c>
      <c r="AD196" s="21">
        <v>0</v>
      </c>
      <c r="AE196" s="21">
        <v>10.67</v>
      </c>
      <c r="AF196" s="21">
        <v>9.86</v>
      </c>
      <c r="AG196" s="21">
        <v>14.5</v>
      </c>
      <c r="AH196" s="18" t="s">
        <v>33</v>
      </c>
      <c r="AI196" s="13" t="str">
        <f>VLOOKUP(AH196,'Hess and Brezowsky'!$B$2:$G$31,2,FALSE)</f>
        <v>Mixed</v>
      </c>
      <c r="AJ196" s="18" t="str">
        <f>VLOOKUP(AH196,'Hess and Brezowsky'!$B$2:$G$31,3,FALSE)</f>
        <v>C</v>
      </c>
      <c r="AK196" s="13" t="str">
        <f>VLOOKUP(AH196,'Hess and Brezowsky'!$B$2:$G$31,4,FALSE)</f>
        <v>Cyclonic South-Westerly</v>
      </c>
      <c r="AL196" s="29">
        <v>0.32120370370370371</v>
      </c>
      <c r="AM196" s="29">
        <v>0.4929513888888889</v>
      </c>
      <c r="AN196" s="30">
        <v>0.66469907407407403</v>
      </c>
    </row>
    <row r="197" spans="1:40" ht="15.75" customHeight="1" x14ac:dyDescent="0.2">
      <c r="A197" s="27">
        <v>44917</v>
      </c>
      <c r="B197" s="13">
        <v>2022</v>
      </c>
      <c r="C197" s="13">
        <v>356</v>
      </c>
      <c r="D197" s="13">
        <f t="shared" si="8"/>
        <v>5</v>
      </c>
      <c r="E197" s="13"/>
      <c r="F197" s="13">
        <f t="shared" si="7"/>
        <v>3</v>
      </c>
      <c r="G197" s="14">
        <v>1</v>
      </c>
      <c r="H197" s="14">
        <v>0</v>
      </c>
      <c r="I197" s="14">
        <v>1</v>
      </c>
      <c r="J197" s="14">
        <v>0</v>
      </c>
      <c r="K197" s="14">
        <v>0</v>
      </c>
      <c r="L197" s="14">
        <v>1</v>
      </c>
      <c r="M197" s="15">
        <v>238.98400000000001</v>
      </c>
      <c r="N197" s="16" t="str">
        <f t="shared" si="9"/>
        <v>SW</v>
      </c>
      <c r="O197" s="17">
        <v>12.2</v>
      </c>
      <c r="P197" s="16" t="s">
        <v>137</v>
      </c>
      <c r="Q197" s="18">
        <v>9.3000000000000007</v>
      </c>
      <c r="R197" s="19">
        <v>12.58</v>
      </c>
      <c r="S197" s="19">
        <v>11.1</v>
      </c>
      <c r="T197" s="19">
        <v>14.4</v>
      </c>
      <c r="U197" s="20">
        <v>238.97</v>
      </c>
      <c r="V197" s="16" t="s">
        <v>5</v>
      </c>
      <c r="W197" s="21">
        <v>0</v>
      </c>
      <c r="X197" s="21">
        <v>0</v>
      </c>
      <c r="Y197" s="21">
        <v>0</v>
      </c>
      <c r="Z197" s="21">
        <v>0</v>
      </c>
      <c r="AA197" s="21">
        <v>0.08</v>
      </c>
      <c r="AB197" s="21">
        <v>0.57999999999999996</v>
      </c>
      <c r="AC197" s="21">
        <v>0.33</v>
      </c>
      <c r="AD197" s="21">
        <v>0</v>
      </c>
      <c r="AE197" s="21">
        <v>12.97</v>
      </c>
      <c r="AF197" s="21">
        <v>12.26</v>
      </c>
      <c r="AG197" s="21">
        <v>23.6</v>
      </c>
      <c r="AH197" s="18" t="s">
        <v>28</v>
      </c>
      <c r="AI197" s="13" t="str">
        <f>VLOOKUP(AH197,'Hess and Brezowsky'!$B$2:$G$31,2,FALSE)</f>
        <v>Zonal</v>
      </c>
      <c r="AJ197" s="18" t="str">
        <f>VLOOKUP(AH197,'Hess and Brezowsky'!$B$2:$G$31,3,FALSE)</f>
        <v>C</v>
      </c>
      <c r="AK197" s="13" t="str">
        <f>VLOOKUP(AH197,'Hess and Brezowsky'!$B$2:$G$31,4,FALSE)</f>
        <v>Cyclonic Westerly</v>
      </c>
      <c r="AL197" s="29">
        <v>0.32153935185185184</v>
      </c>
      <c r="AM197" s="29">
        <v>0.49328703703703702</v>
      </c>
      <c r="AN197" s="30">
        <v>0.66502314814814811</v>
      </c>
    </row>
    <row r="198" spans="1:40" ht="15.75" customHeight="1" x14ac:dyDescent="0.2">
      <c r="A198" s="27">
        <v>44918</v>
      </c>
      <c r="B198" s="13">
        <v>2022</v>
      </c>
      <c r="C198" s="13">
        <v>357</v>
      </c>
      <c r="D198" s="13">
        <f t="shared" si="8"/>
        <v>6</v>
      </c>
      <c r="E198" s="13"/>
      <c r="F198" s="13">
        <f t="shared" si="7"/>
        <v>3</v>
      </c>
      <c r="G198" s="14">
        <v>1</v>
      </c>
      <c r="H198" s="14">
        <v>0</v>
      </c>
      <c r="I198" s="14">
        <v>1</v>
      </c>
      <c r="J198" s="14">
        <v>0</v>
      </c>
      <c r="K198" s="14">
        <v>0</v>
      </c>
      <c r="L198" s="14">
        <v>1</v>
      </c>
      <c r="M198" s="15">
        <v>240.13900000000001</v>
      </c>
      <c r="N198" s="16" t="str">
        <f t="shared" si="9"/>
        <v>SW</v>
      </c>
      <c r="O198" s="17">
        <v>11.2</v>
      </c>
      <c r="P198" s="16" t="s">
        <v>140</v>
      </c>
      <c r="Q198" s="18">
        <v>3</v>
      </c>
      <c r="R198" s="19">
        <v>13.44</v>
      </c>
      <c r="S198" s="19">
        <v>11.2</v>
      </c>
      <c r="T198" s="19">
        <v>15.7</v>
      </c>
      <c r="U198" s="20">
        <v>239.88</v>
      </c>
      <c r="V198" s="16" t="s">
        <v>5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0.83</v>
      </c>
      <c r="AC198" s="21">
        <v>0.17</v>
      </c>
      <c r="AD198" s="21">
        <v>0</v>
      </c>
      <c r="AE198" s="21">
        <v>11.85</v>
      </c>
      <c r="AF198" s="21">
        <v>11.71</v>
      </c>
      <c r="AG198" s="21">
        <v>16.3</v>
      </c>
      <c r="AH198" s="18" t="s">
        <v>28</v>
      </c>
      <c r="AI198" s="13" t="str">
        <f>VLOOKUP(AH198,'Hess and Brezowsky'!$B$2:$G$31,2,FALSE)</f>
        <v>Zonal</v>
      </c>
      <c r="AJ198" s="18" t="str">
        <f>VLOOKUP(AH198,'Hess and Brezowsky'!$B$2:$G$31,3,FALSE)</f>
        <v>C</v>
      </c>
      <c r="AK198" s="13" t="str">
        <f>VLOOKUP(AH198,'Hess and Brezowsky'!$B$2:$G$31,4,FALSE)</f>
        <v>Cyclonic Westerly</v>
      </c>
      <c r="AL198" s="29">
        <v>0.32185185185185183</v>
      </c>
      <c r="AM198" s="29">
        <v>0.49362268518518521</v>
      </c>
      <c r="AN198" s="30">
        <v>0.66538194444444443</v>
      </c>
    </row>
    <row r="199" spans="1:40" ht="15.75" customHeight="1" x14ac:dyDescent="0.2">
      <c r="A199" s="27">
        <v>44919</v>
      </c>
      <c r="B199" s="13">
        <v>2022</v>
      </c>
      <c r="C199" s="13">
        <v>358</v>
      </c>
      <c r="D199" s="13">
        <f t="shared" si="8"/>
        <v>7</v>
      </c>
      <c r="E199" s="13"/>
      <c r="F199" s="13">
        <f t="shared" si="7"/>
        <v>3</v>
      </c>
      <c r="G199" s="14">
        <v>1</v>
      </c>
      <c r="H199" s="14">
        <v>0</v>
      </c>
      <c r="I199" s="14">
        <v>0.95</v>
      </c>
      <c r="J199" s="14">
        <v>0</v>
      </c>
      <c r="K199" s="14">
        <v>0</v>
      </c>
      <c r="L199" s="14">
        <v>1</v>
      </c>
      <c r="M199" s="15">
        <v>215.74799999999999</v>
      </c>
      <c r="N199" s="16" t="str">
        <f t="shared" si="9"/>
        <v>SW</v>
      </c>
      <c r="O199" s="17">
        <v>7.9</v>
      </c>
      <c r="P199" s="16" t="s">
        <v>140</v>
      </c>
      <c r="Q199" s="18">
        <v>1</v>
      </c>
      <c r="R199" s="19">
        <v>10.83</v>
      </c>
      <c r="S199" s="19">
        <v>10.3</v>
      </c>
      <c r="T199" s="19">
        <v>11.8</v>
      </c>
      <c r="U199" s="20">
        <v>216.79</v>
      </c>
      <c r="V199" s="16" t="s">
        <v>5</v>
      </c>
      <c r="W199" s="21">
        <v>0</v>
      </c>
      <c r="X199" s="21">
        <v>0</v>
      </c>
      <c r="Y199" s="21">
        <v>0</v>
      </c>
      <c r="Z199" s="21">
        <v>0</v>
      </c>
      <c r="AA199" s="21">
        <v>0.33</v>
      </c>
      <c r="AB199" s="21">
        <v>0.67</v>
      </c>
      <c r="AC199" s="21">
        <v>0</v>
      </c>
      <c r="AD199" s="21">
        <v>0</v>
      </c>
      <c r="AE199" s="21">
        <v>8.18</v>
      </c>
      <c r="AF199" s="21">
        <v>7.61</v>
      </c>
      <c r="AG199" s="21">
        <v>13.5</v>
      </c>
      <c r="AH199" s="18" t="s">
        <v>28</v>
      </c>
      <c r="AI199" s="13" t="str">
        <f>VLOOKUP(AH199,'Hess and Brezowsky'!$B$2:$G$31,2,FALSE)</f>
        <v>Zonal</v>
      </c>
      <c r="AJ199" s="18" t="str">
        <f>VLOOKUP(AH199,'Hess and Brezowsky'!$B$2:$G$31,3,FALSE)</f>
        <v>C</v>
      </c>
      <c r="AK199" s="13" t="str">
        <f>VLOOKUP(AH199,'Hess and Brezowsky'!$B$2:$G$31,4,FALSE)</f>
        <v>Cyclonic Westerly</v>
      </c>
      <c r="AL199" s="29">
        <v>0.32212962962962965</v>
      </c>
      <c r="AM199" s="29">
        <v>0.49394675925925924</v>
      </c>
      <c r="AN199" s="30">
        <v>0.66577546296296297</v>
      </c>
    </row>
    <row r="200" spans="1:40" ht="15.75" customHeight="1" x14ac:dyDescent="0.2">
      <c r="A200" s="27">
        <v>44920</v>
      </c>
      <c r="B200" s="13">
        <v>2022</v>
      </c>
      <c r="C200" s="13">
        <v>359</v>
      </c>
      <c r="D200" s="13">
        <f t="shared" si="8"/>
        <v>1</v>
      </c>
      <c r="E200" s="13"/>
      <c r="F200" s="13">
        <f t="shared" si="7"/>
        <v>3</v>
      </c>
      <c r="G200" s="14">
        <v>1</v>
      </c>
      <c r="H200" s="14">
        <v>0</v>
      </c>
      <c r="I200" s="14">
        <v>1</v>
      </c>
      <c r="J200" s="14">
        <v>0</v>
      </c>
      <c r="K200" s="14">
        <v>0</v>
      </c>
      <c r="L200" s="14">
        <v>1</v>
      </c>
      <c r="M200" s="15">
        <v>206.90299999999999</v>
      </c>
      <c r="N200" s="16" t="str">
        <f t="shared" si="9"/>
        <v>SW</v>
      </c>
      <c r="O200" s="17">
        <v>8.5</v>
      </c>
      <c r="P200" s="16" t="s">
        <v>137</v>
      </c>
      <c r="Q200" s="18">
        <v>0.2</v>
      </c>
      <c r="R200" s="19">
        <v>11.79</v>
      </c>
      <c r="S200" s="19">
        <v>10.1</v>
      </c>
      <c r="T200" s="19">
        <v>13.5</v>
      </c>
      <c r="U200" s="20">
        <v>202.74</v>
      </c>
      <c r="V200" s="16" t="s">
        <v>5</v>
      </c>
      <c r="W200" s="21">
        <v>0</v>
      </c>
      <c r="X200" s="21">
        <v>0</v>
      </c>
      <c r="Y200" s="21">
        <v>0</v>
      </c>
      <c r="Z200" s="21">
        <v>0</v>
      </c>
      <c r="AA200" s="21">
        <v>0.54</v>
      </c>
      <c r="AB200" s="21">
        <v>0.46</v>
      </c>
      <c r="AC200" s="21">
        <v>0</v>
      </c>
      <c r="AD200" s="21">
        <v>0</v>
      </c>
      <c r="AE200" s="21">
        <v>8.3699999999999992</v>
      </c>
      <c r="AF200" s="21">
        <v>8.17</v>
      </c>
      <c r="AG200" s="21">
        <v>13.5</v>
      </c>
      <c r="AH200" s="18" t="s">
        <v>12</v>
      </c>
      <c r="AI200" s="13" t="str">
        <f>VLOOKUP(AH200,'Hess and Brezowsky'!$B$2:$G$31,2,FALSE)</f>
        <v>Undefined</v>
      </c>
      <c r="AJ200" s="18" t="str">
        <f>VLOOKUP(AH200,'Hess and Brezowsky'!$B$2:$G$31,3,FALSE)</f>
        <v>M</v>
      </c>
      <c r="AK200" s="13" t="str">
        <f>VLOOKUP(AH200,'Hess and Brezowsky'!$B$2:$G$31,4,FALSE)</f>
        <v>Transistion / Undefined</v>
      </c>
      <c r="AL200" s="29">
        <v>0.32237268518518519</v>
      </c>
      <c r="AM200" s="29">
        <v>0.49428240740740742</v>
      </c>
      <c r="AN200" s="30">
        <v>0.66619212962962959</v>
      </c>
    </row>
    <row r="201" spans="1:40" ht="15.75" customHeight="1" x14ac:dyDescent="0.2">
      <c r="A201" s="27">
        <v>44921</v>
      </c>
      <c r="B201" s="13">
        <v>2022</v>
      </c>
      <c r="C201" s="13">
        <v>360</v>
      </c>
      <c r="D201" s="13">
        <f t="shared" si="8"/>
        <v>2</v>
      </c>
      <c r="E201" s="13"/>
      <c r="F201" s="13">
        <f t="shared" si="7"/>
        <v>3</v>
      </c>
      <c r="G201" s="14">
        <v>1</v>
      </c>
      <c r="H201" s="14">
        <v>0</v>
      </c>
      <c r="I201" s="14">
        <v>0.75</v>
      </c>
      <c r="J201" s="14">
        <v>0</v>
      </c>
      <c r="K201" s="14">
        <v>0</v>
      </c>
      <c r="L201" s="14">
        <v>1</v>
      </c>
      <c r="M201" s="15">
        <v>255.09200000000001</v>
      </c>
      <c r="N201" s="16" t="str">
        <f t="shared" si="9"/>
        <v>W</v>
      </c>
      <c r="O201" s="17">
        <v>10.3</v>
      </c>
      <c r="P201" s="16" t="s">
        <v>137</v>
      </c>
      <c r="Q201" s="18">
        <v>1</v>
      </c>
      <c r="R201" s="19">
        <v>9.74</v>
      </c>
      <c r="S201" s="19">
        <v>5</v>
      </c>
      <c r="T201" s="19">
        <v>12.4</v>
      </c>
      <c r="U201" s="20">
        <v>254.25</v>
      </c>
      <c r="V201" s="16" t="s">
        <v>16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v>0.5</v>
      </c>
      <c r="AC201" s="21">
        <v>0.5</v>
      </c>
      <c r="AD201" s="21">
        <v>0</v>
      </c>
      <c r="AE201" s="21">
        <v>10.85</v>
      </c>
      <c r="AF201" s="21">
        <v>10.14</v>
      </c>
      <c r="AG201" s="21">
        <v>17.3</v>
      </c>
      <c r="AH201" s="22" t="s">
        <v>28</v>
      </c>
      <c r="AI201" s="13" t="str">
        <f>VLOOKUP(AH201,'Hess and Brezowsky'!$B$2:$G$31,2,FALSE)</f>
        <v>Zonal</v>
      </c>
      <c r="AJ201" s="18" t="str">
        <f>VLOOKUP(AH201,'Hess and Brezowsky'!$B$2:$G$31,3,FALSE)</f>
        <v>C</v>
      </c>
      <c r="AK201" s="13" t="str">
        <f>VLOOKUP(AH201,'Hess and Brezowsky'!$B$2:$G$31,4,FALSE)</f>
        <v>Cyclonic Westerly</v>
      </c>
      <c r="AL201" s="29">
        <v>0.3225810185185185</v>
      </c>
      <c r="AM201" s="29">
        <v>0.49461805555555555</v>
      </c>
      <c r="AN201" s="30">
        <v>0.66665509259259259</v>
      </c>
    </row>
    <row r="202" spans="1:40" ht="15.75" customHeight="1" x14ac:dyDescent="0.2">
      <c r="A202" s="27">
        <v>44922</v>
      </c>
      <c r="B202" s="13">
        <v>2022</v>
      </c>
      <c r="C202" s="13">
        <v>361</v>
      </c>
      <c r="D202" s="13">
        <f t="shared" si="8"/>
        <v>3</v>
      </c>
      <c r="E202" s="13"/>
      <c r="F202" s="13">
        <f t="shared" si="7"/>
        <v>2</v>
      </c>
      <c r="G202" s="14">
        <v>1</v>
      </c>
      <c r="H202" s="14">
        <v>0</v>
      </c>
      <c r="I202" s="14">
        <v>0.5</v>
      </c>
      <c r="J202" s="14">
        <v>0</v>
      </c>
      <c r="K202" s="14">
        <v>0</v>
      </c>
      <c r="L202" s="14">
        <v>1</v>
      </c>
      <c r="M202" s="15">
        <v>228.91800000000001</v>
      </c>
      <c r="N202" s="16" t="str">
        <f t="shared" si="9"/>
        <v>SW</v>
      </c>
      <c r="O202" s="17">
        <v>8.6999999999999993</v>
      </c>
      <c r="P202" s="16" t="s">
        <v>137</v>
      </c>
      <c r="Q202" s="18">
        <v>0</v>
      </c>
      <c r="R202" s="19">
        <v>6.63</v>
      </c>
      <c r="S202" s="19">
        <v>4</v>
      </c>
      <c r="T202" s="19">
        <v>10.199999999999999</v>
      </c>
      <c r="U202" s="20">
        <v>229.39</v>
      </c>
      <c r="V202" s="16" t="s">
        <v>5</v>
      </c>
      <c r="W202" s="21">
        <v>0</v>
      </c>
      <c r="X202" s="21">
        <v>0</v>
      </c>
      <c r="Y202" s="21">
        <v>0</v>
      </c>
      <c r="Z202" s="21">
        <v>0</v>
      </c>
      <c r="AA202" s="21">
        <v>0.33</v>
      </c>
      <c r="AB202" s="21">
        <v>0.28999999999999998</v>
      </c>
      <c r="AC202" s="21">
        <v>0.38</v>
      </c>
      <c r="AD202" s="21">
        <v>0</v>
      </c>
      <c r="AE202" s="21">
        <v>8.83</v>
      </c>
      <c r="AF202" s="21">
        <v>7.69</v>
      </c>
      <c r="AG202" s="21">
        <v>13.4</v>
      </c>
      <c r="AH202" s="22" t="s">
        <v>28</v>
      </c>
      <c r="AI202" s="13" t="str">
        <f>VLOOKUP(AH202,'Hess and Brezowsky'!$B$2:$G$31,2,FALSE)</f>
        <v>Zonal</v>
      </c>
      <c r="AJ202" s="18" t="str">
        <f>VLOOKUP(AH202,'Hess and Brezowsky'!$B$2:$G$31,3,FALSE)</f>
        <v>C</v>
      </c>
      <c r="AK202" s="13" t="str">
        <f>VLOOKUP(AH202,'Hess and Brezowsky'!$B$2:$G$31,4,FALSE)</f>
        <v>Cyclonic Westerly</v>
      </c>
      <c r="AL202" s="29">
        <v>0.32276620370370368</v>
      </c>
      <c r="AM202" s="29">
        <v>0.49495370370370373</v>
      </c>
      <c r="AN202" s="30">
        <v>0.66714120370370367</v>
      </c>
    </row>
    <row r="203" spans="1:40" ht="15.75" customHeight="1" x14ac:dyDescent="0.2">
      <c r="A203" s="27">
        <v>44923</v>
      </c>
      <c r="B203" s="13">
        <v>2022</v>
      </c>
      <c r="C203" s="13">
        <v>362</v>
      </c>
      <c r="D203" s="13">
        <f t="shared" si="8"/>
        <v>4</v>
      </c>
      <c r="E203" s="13"/>
      <c r="F203" s="13">
        <f t="shared" si="7"/>
        <v>3</v>
      </c>
      <c r="G203" s="14">
        <v>1</v>
      </c>
      <c r="H203" s="14">
        <v>0</v>
      </c>
      <c r="I203" s="14">
        <v>1</v>
      </c>
      <c r="J203" s="14">
        <v>0</v>
      </c>
      <c r="K203" s="14">
        <v>0</v>
      </c>
      <c r="L203" s="14">
        <v>1</v>
      </c>
      <c r="M203" s="15">
        <v>209.845</v>
      </c>
      <c r="N203" s="16" t="str">
        <f t="shared" si="9"/>
        <v>SW</v>
      </c>
      <c r="O203" s="17">
        <v>14</v>
      </c>
      <c r="P203" s="16" t="s">
        <v>139</v>
      </c>
      <c r="Q203" s="18">
        <v>3.2</v>
      </c>
      <c r="R203" s="19">
        <v>10.42</v>
      </c>
      <c r="S203" s="19">
        <v>8.9</v>
      </c>
      <c r="T203" s="19">
        <v>11.6</v>
      </c>
      <c r="U203" s="20">
        <v>203.95</v>
      </c>
      <c r="V203" s="16" t="s">
        <v>5</v>
      </c>
      <c r="W203" s="21">
        <v>0</v>
      </c>
      <c r="X203" s="21">
        <v>0</v>
      </c>
      <c r="Y203" s="21">
        <v>0</v>
      </c>
      <c r="Z203" s="21">
        <v>0</v>
      </c>
      <c r="AA203" s="21">
        <v>0.42</v>
      </c>
      <c r="AB203" s="21">
        <v>0.57999999999999996</v>
      </c>
      <c r="AC203" s="21">
        <v>0</v>
      </c>
      <c r="AD203" s="21">
        <v>0</v>
      </c>
      <c r="AE203" s="21">
        <v>12.19</v>
      </c>
      <c r="AF203" s="21">
        <v>12.14</v>
      </c>
      <c r="AG203" s="21">
        <v>18.3</v>
      </c>
      <c r="AH203" s="22" t="s">
        <v>28</v>
      </c>
      <c r="AI203" s="13" t="str">
        <f>VLOOKUP(AH203,'Hess and Brezowsky'!$B$2:$G$31,2,FALSE)</f>
        <v>Zonal</v>
      </c>
      <c r="AJ203" s="18" t="str">
        <f>VLOOKUP(AH203,'Hess and Brezowsky'!$B$2:$G$31,3,FALSE)</f>
        <v>C</v>
      </c>
      <c r="AK203" s="13" t="str">
        <f>VLOOKUP(AH203,'Hess and Brezowsky'!$B$2:$G$31,4,FALSE)</f>
        <v>Cyclonic Westerly</v>
      </c>
      <c r="AL203" s="29">
        <v>0.32290509259259259</v>
      </c>
      <c r="AM203" s="29">
        <v>0.49527777777777776</v>
      </c>
      <c r="AN203" s="30">
        <v>0.66766203703703708</v>
      </c>
    </row>
    <row r="204" spans="1:40" ht="15.75" customHeight="1" x14ac:dyDescent="0.2">
      <c r="A204" s="27">
        <v>44924</v>
      </c>
      <c r="B204" s="13">
        <v>2022</v>
      </c>
      <c r="C204" s="13">
        <v>363</v>
      </c>
      <c r="D204" s="13">
        <f t="shared" si="8"/>
        <v>5</v>
      </c>
      <c r="E204" s="13"/>
      <c r="F204" s="13">
        <f t="shared" si="7"/>
        <v>3</v>
      </c>
      <c r="G204" s="14">
        <v>1</v>
      </c>
      <c r="H204" s="14">
        <v>0</v>
      </c>
      <c r="I204" s="14">
        <v>0.7</v>
      </c>
      <c r="J204" s="14">
        <v>0</v>
      </c>
      <c r="K204" s="14">
        <v>0</v>
      </c>
      <c r="L204" s="14">
        <v>1</v>
      </c>
      <c r="M204" s="15">
        <v>233.95099999999999</v>
      </c>
      <c r="N204" s="16" t="str">
        <f t="shared" si="9"/>
        <v>SW</v>
      </c>
      <c r="O204" s="17">
        <v>11.6</v>
      </c>
      <c r="P204" s="16" t="s">
        <v>140</v>
      </c>
      <c r="Q204" s="18">
        <v>4.2</v>
      </c>
      <c r="R204" s="19">
        <v>9.94</v>
      </c>
      <c r="S204" s="19">
        <v>6</v>
      </c>
      <c r="T204" s="19">
        <v>12.4</v>
      </c>
      <c r="U204" s="20">
        <v>233.31</v>
      </c>
      <c r="V204" s="16" t="s">
        <v>5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1</v>
      </c>
      <c r="AC204" s="21">
        <v>0</v>
      </c>
      <c r="AD204" s="21">
        <v>0</v>
      </c>
      <c r="AE204" s="21">
        <v>12.18</v>
      </c>
      <c r="AF204" s="21">
        <v>12.09</v>
      </c>
      <c r="AG204" s="21">
        <v>19.8</v>
      </c>
      <c r="AH204" s="22" t="s">
        <v>28</v>
      </c>
      <c r="AI204" s="13" t="str">
        <f>VLOOKUP(AH204,'Hess and Brezowsky'!$B$2:$G$31,2,FALSE)</f>
        <v>Zonal</v>
      </c>
      <c r="AJ204" s="18" t="str">
        <f>VLOOKUP(AH204,'Hess and Brezowsky'!$B$2:$G$31,3,FALSE)</f>
        <v>C</v>
      </c>
      <c r="AK204" s="13" t="str">
        <f>VLOOKUP(AH204,'Hess and Brezowsky'!$B$2:$G$31,4,FALSE)</f>
        <v>Cyclonic Westerly</v>
      </c>
      <c r="AL204" s="29">
        <v>0.32300925925925927</v>
      </c>
      <c r="AM204" s="29">
        <v>0.49561342592592594</v>
      </c>
      <c r="AN204" s="30">
        <v>0.66821759259259261</v>
      </c>
    </row>
    <row r="205" spans="1:40" ht="15.75" customHeight="1" x14ac:dyDescent="0.2">
      <c r="A205" s="27">
        <v>44925</v>
      </c>
      <c r="B205" s="13">
        <v>2022</v>
      </c>
      <c r="C205" s="13">
        <v>364</v>
      </c>
      <c r="D205" s="13">
        <f t="shared" si="8"/>
        <v>6</v>
      </c>
      <c r="E205" s="13"/>
      <c r="F205" s="13">
        <f t="shared" si="7"/>
        <v>3</v>
      </c>
      <c r="G205" s="14">
        <v>1</v>
      </c>
      <c r="H205" s="14">
        <v>0</v>
      </c>
      <c r="I205" s="14">
        <v>0.95</v>
      </c>
      <c r="J205" s="14">
        <v>0</v>
      </c>
      <c r="K205" s="14">
        <v>0</v>
      </c>
      <c r="L205" s="14">
        <v>1</v>
      </c>
      <c r="M205" s="15">
        <v>204.24799999999999</v>
      </c>
      <c r="N205" s="16" t="str">
        <f t="shared" si="9"/>
        <v>SW</v>
      </c>
      <c r="O205" s="17">
        <v>13.6</v>
      </c>
      <c r="P205" s="16" t="s">
        <v>137</v>
      </c>
      <c r="Q205" s="18">
        <v>3.4</v>
      </c>
      <c r="R205" s="19">
        <v>10.64</v>
      </c>
      <c r="S205" s="19">
        <v>5.3</v>
      </c>
      <c r="T205" s="19">
        <v>15.1</v>
      </c>
      <c r="U205" s="20">
        <v>200.41</v>
      </c>
      <c r="V205" s="16" t="s">
        <v>13</v>
      </c>
      <c r="W205" s="21">
        <v>0</v>
      </c>
      <c r="X205" s="21">
        <v>0</v>
      </c>
      <c r="Y205" s="21">
        <v>0</v>
      </c>
      <c r="Z205" s="21">
        <v>0</v>
      </c>
      <c r="AA205" s="21">
        <v>0.42</v>
      </c>
      <c r="AB205" s="21">
        <v>0.57999999999999996</v>
      </c>
      <c r="AC205" s="21">
        <v>0</v>
      </c>
      <c r="AD205" s="21">
        <v>0</v>
      </c>
      <c r="AE205" s="21">
        <v>13.16</v>
      </c>
      <c r="AF205" s="21">
        <v>12.53</v>
      </c>
      <c r="AG205" s="21">
        <v>19.8</v>
      </c>
      <c r="AH205" s="18" t="s">
        <v>33</v>
      </c>
      <c r="AI205" s="13" t="str">
        <f>VLOOKUP(AH205,'Hess and Brezowsky'!$B$2:$G$31,2,FALSE)</f>
        <v>Mixed</v>
      </c>
      <c r="AJ205" s="18" t="str">
        <f>VLOOKUP(AH205,'Hess and Brezowsky'!$B$2:$G$31,3,FALSE)</f>
        <v>C</v>
      </c>
      <c r="AK205" s="13" t="str">
        <f>VLOOKUP(AH205,'Hess and Brezowsky'!$B$2:$G$31,4,FALSE)</f>
        <v>Cyclonic South-Westerly</v>
      </c>
      <c r="AL205" s="29">
        <v>0.32307870370370373</v>
      </c>
      <c r="AM205" s="29">
        <v>0.49593749999999998</v>
      </c>
      <c r="AN205" s="30">
        <v>0.66879629629629633</v>
      </c>
    </row>
    <row r="206" spans="1:40" ht="15.75" customHeight="1" x14ac:dyDescent="0.2">
      <c r="A206" s="27">
        <v>44926</v>
      </c>
      <c r="B206" s="13">
        <v>2022</v>
      </c>
      <c r="C206" s="13">
        <v>365</v>
      </c>
      <c r="D206" s="13">
        <f t="shared" si="8"/>
        <v>7</v>
      </c>
      <c r="E206" s="13"/>
      <c r="F206" s="13">
        <f t="shared" si="7"/>
        <v>3</v>
      </c>
      <c r="G206" s="14">
        <v>1</v>
      </c>
      <c r="H206" s="14">
        <v>0</v>
      </c>
      <c r="I206" s="14">
        <v>1</v>
      </c>
      <c r="J206" s="14">
        <v>0</v>
      </c>
      <c r="K206" s="14">
        <v>0</v>
      </c>
      <c r="L206" s="14">
        <v>1</v>
      </c>
      <c r="M206" s="15">
        <v>210.80500000000001</v>
      </c>
      <c r="N206" s="16" t="str">
        <f t="shared" si="9"/>
        <v>SW</v>
      </c>
      <c r="O206" s="17">
        <v>15.8</v>
      </c>
      <c r="P206" s="16" t="s">
        <v>140</v>
      </c>
      <c r="Q206" s="18">
        <v>0.2</v>
      </c>
      <c r="R206" s="19">
        <v>15.23</v>
      </c>
      <c r="S206" s="19">
        <v>14.2</v>
      </c>
      <c r="T206" s="19">
        <v>16.100000000000001</v>
      </c>
      <c r="U206" s="20">
        <v>204.36</v>
      </c>
      <c r="V206" s="16" t="s">
        <v>5</v>
      </c>
      <c r="W206" s="21">
        <v>0</v>
      </c>
      <c r="X206" s="21">
        <v>0</v>
      </c>
      <c r="Y206" s="21">
        <v>0</v>
      </c>
      <c r="Z206" s="21">
        <v>0</v>
      </c>
      <c r="AA206" s="21">
        <v>0.46</v>
      </c>
      <c r="AB206" s="21">
        <v>0.54</v>
      </c>
      <c r="AC206" s="21">
        <v>0</v>
      </c>
      <c r="AD206" s="21">
        <v>0</v>
      </c>
      <c r="AE206" s="21">
        <v>14.9</v>
      </c>
      <c r="AF206" s="21">
        <v>14.86</v>
      </c>
      <c r="AG206" s="21">
        <v>19.899999999999999</v>
      </c>
      <c r="AH206" s="18" t="s">
        <v>33</v>
      </c>
      <c r="AI206" s="13" t="str">
        <f>VLOOKUP(AH206,'Hess and Brezowsky'!$B$2:$G$31,2,FALSE)</f>
        <v>Mixed</v>
      </c>
      <c r="AJ206" s="18" t="str">
        <f>VLOOKUP(AH206,'Hess and Brezowsky'!$B$2:$G$31,3,FALSE)</f>
        <v>C</v>
      </c>
      <c r="AK206" s="13" t="str">
        <f>VLOOKUP(AH206,'Hess and Brezowsky'!$B$2:$G$31,4,FALSE)</f>
        <v>Cyclonic South-Westerly</v>
      </c>
      <c r="AL206" s="29">
        <v>0.323125</v>
      </c>
      <c r="AM206" s="29">
        <v>0.49626157407407406</v>
      </c>
      <c r="AN206" s="30">
        <v>0.66940972222222217</v>
      </c>
    </row>
    <row r="207" spans="1:40" ht="15.75" customHeight="1" x14ac:dyDescent="0.2">
      <c r="A207" s="27">
        <v>44927</v>
      </c>
      <c r="B207" s="13">
        <v>2023</v>
      </c>
      <c r="C207" s="13">
        <v>1</v>
      </c>
      <c r="D207" s="13">
        <f t="shared" si="8"/>
        <v>1</v>
      </c>
      <c r="E207" s="13"/>
      <c r="F207" s="13">
        <f t="shared" si="7"/>
        <v>3</v>
      </c>
      <c r="G207" s="14">
        <v>1</v>
      </c>
      <c r="H207" s="14">
        <v>0</v>
      </c>
      <c r="I207" s="14">
        <v>1</v>
      </c>
      <c r="J207" s="14">
        <v>0</v>
      </c>
      <c r="K207" s="14">
        <v>0</v>
      </c>
      <c r="L207" s="14">
        <v>1</v>
      </c>
      <c r="M207" s="15">
        <v>201.631</v>
      </c>
      <c r="N207" s="16" t="str">
        <f t="shared" si="9"/>
        <v>S</v>
      </c>
      <c r="O207" s="17">
        <v>12.5</v>
      </c>
      <c r="P207" s="16"/>
      <c r="Q207" s="18">
        <v>1.4</v>
      </c>
      <c r="R207" s="19">
        <v>13.07</v>
      </c>
      <c r="S207" s="19">
        <v>11.4</v>
      </c>
      <c r="T207" s="19">
        <v>15</v>
      </c>
      <c r="U207" s="20">
        <v>196.17</v>
      </c>
      <c r="V207" s="16" t="s">
        <v>13</v>
      </c>
      <c r="W207" s="21">
        <v>0</v>
      </c>
      <c r="X207" s="21">
        <v>0</v>
      </c>
      <c r="Y207" s="21">
        <v>0</v>
      </c>
      <c r="Z207" s="21">
        <v>0</v>
      </c>
      <c r="AA207" s="21">
        <v>0.62</v>
      </c>
      <c r="AB207" s="21">
        <v>0.38</v>
      </c>
      <c r="AC207" s="21">
        <v>0</v>
      </c>
      <c r="AD207" s="21">
        <v>0</v>
      </c>
      <c r="AE207" s="21">
        <v>11.68</v>
      </c>
      <c r="AF207" s="21">
        <v>11.21</v>
      </c>
      <c r="AG207" s="21">
        <v>15.9</v>
      </c>
      <c r="AH207" s="18" t="s">
        <v>33</v>
      </c>
      <c r="AI207" s="13" t="str">
        <f>VLOOKUP(AH207,'Hess and Brezowsky'!$B$2:$G$31,2,FALSE)</f>
        <v>Mixed</v>
      </c>
      <c r="AJ207" s="18" t="str">
        <f>VLOOKUP(AH207,'Hess and Brezowsky'!$B$2:$G$31,3,FALSE)</f>
        <v>C</v>
      </c>
      <c r="AK207" s="13" t="str">
        <f>VLOOKUP(AH207,'Hess and Brezowsky'!$B$2:$G$31,4,FALSE)</f>
        <v>Cyclonic South-Westerly</v>
      </c>
      <c r="AL207" s="29">
        <v>0.323125</v>
      </c>
      <c r="AM207" s="29">
        <v>0.49658564814814815</v>
      </c>
      <c r="AN207" s="30">
        <v>0.67004629629629631</v>
      </c>
    </row>
    <row r="208" spans="1:40" ht="15.75" customHeight="1" x14ac:dyDescent="0.2">
      <c r="A208" s="27">
        <v>44928</v>
      </c>
      <c r="B208" s="13">
        <v>2023</v>
      </c>
      <c r="C208" s="13">
        <v>2</v>
      </c>
      <c r="D208" s="13">
        <f t="shared" si="8"/>
        <v>2</v>
      </c>
      <c r="E208" s="13"/>
      <c r="F208" s="13">
        <f t="shared" si="7"/>
        <v>3</v>
      </c>
      <c r="G208" s="14">
        <v>1</v>
      </c>
      <c r="H208" s="14">
        <v>0</v>
      </c>
      <c r="I208" s="14">
        <v>0.7</v>
      </c>
      <c r="J208" s="14">
        <v>0</v>
      </c>
      <c r="K208" s="14">
        <v>0</v>
      </c>
      <c r="L208" s="14">
        <v>1</v>
      </c>
      <c r="M208" s="15">
        <v>233.298</v>
      </c>
      <c r="N208" s="16" t="str">
        <f t="shared" si="9"/>
        <v>SW</v>
      </c>
      <c r="O208" s="17">
        <v>9.3000000000000007</v>
      </c>
      <c r="P208" s="16" t="s">
        <v>137</v>
      </c>
      <c r="Q208" s="18">
        <v>5.4</v>
      </c>
      <c r="R208" s="19">
        <v>10.4</v>
      </c>
      <c r="S208" s="19">
        <v>6.7</v>
      </c>
      <c r="T208" s="19">
        <v>14.3</v>
      </c>
      <c r="U208" s="20">
        <v>234.35</v>
      </c>
      <c r="V208" s="16" t="s">
        <v>5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1">
        <v>0.96</v>
      </c>
      <c r="AC208" s="21">
        <v>0.04</v>
      </c>
      <c r="AD208" s="21">
        <v>0</v>
      </c>
      <c r="AE208" s="21">
        <v>8.42</v>
      </c>
      <c r="AF208" s="21">
        <v>8.35</v>
      </c>
      <c r="AG208" s="21">
        <v>13.1</v>
      </c>
      <c r="AH208" s="18" t="s">
        <v>33</v>
      </c>
      <c r="AI208" s="13" t="str">
        <f>VLOOKUP(AH208,'Hess and Brezowsky'!$B$2:$G$31,2,FALSE)</f>
        <v>Mixed</v>
      </c>
      <c r="AJ208" s="18" t="str">
        <f>VLOOKUP(AH208,'Hess and Brezowsky'!$B$2:$G$31,3,FALSE)</f>
        <v>C</v>
      </c>
      <c r="AK208" s="13" t="str">
        <f>VLOOKUP(AH208,'Hess and Brezowsky'!$B$2:$G$31,4,FALSE)</f>
        <v>Cyclonic South-Westerly</v>
      </c>
      <c r="AL208" s="29">
        <v>0.32309027777777777</v>
      </c>
      <c r="AM208" s="29">
        <v>0.49690972222222224</v>
      </c>
      <c r="AN208" s="30">
        <v>0.67071759259259256</v>
      </c>
    </row>
    <row r="209" spans="1:40" ht="15.75" customHeight="1" x14ac:dyDescent="0.2">
      <c r="A209" s="27">
        <v>44929</v>
      </c>
      <c r="B209" s="13">
        <v>2023</v>
      </c>
      <c r="C209" s="13">
        <v>3</v>
      </c>
      <c r="D209" s="13">
        <f t="shared" si="8"/>
        <v>3</v>
      </c>
      <c r="E209" s="13"/>
      <c r="F209" s="13">
        <f t="shared" si="7"/>
        <v>3</v>
      </c>
      <c r="G209" s="14">
        <v>1</v>
      </c>
      <c r="H209" s="14">
        <v>0</v>
      </c>
      <c r="I209" s="14">
        <v>0.87</v>
      </c>
      <c r="J209" s="14">
        <v>0</v>
      </c>
      <c r="K209" s="14">
        <v>0</v>
      </c>
      <c r="L209" s="14">
        <v>1</v>
      </c>
      <c r="M209" s="15">
        <v>211.726</v>
      </c>
      <c r="N209" s="16" t="str">
        <f t="shared" si="9"/>
        <v>SW</v>
      </c>
      <c r="O209" s="17">
        <v>9.6</v>
      </c>
      <c r="P209" s="16" t="s">
        <v>140</v>
      </c>
      <c r="Q209" s="18">
        <v>2</v>
      </c>
      <c r="R209" s="19">
        <v>7.91</v>
      </c>
      <c r="S209" s="19">
        <v>5.4</v>
      </c>
      <c r="T209" s="19">
        <v>10</v>
      </c>
      <c r="U209" s="20">
        <v>211.6</v>
      </c>
      <c r="V209" s="16" t="s">
        <v>5</v>
      </c>
      <c r="W209" s="21">
        <v>0</v>
      </c>
      <c r="X209" s="21">
        <v>0</v>
      </c>
      <c r="Y209" s="21">
        <v>0</v>
      </c>
      <c r="Z209" s="21">
        <v>0</v>
      </c>
      <c r="AA209" s="21">
        <v>0.33</v>
      </c>
      <c r="AB209" s="21">
        <v>0.67</v>
      </c>
      <c r="AC209" s="21">
        <v>0</v>
      </c>
      <c r="AD209" s="21">
        <v>0</v>
      </c>
      <c r="AE209" s="21">
        <v>9.09</v>
      </c>
      <c r="AF209" s="21">
        <v>8.8000000000000007</v>
      </c>
      <c r="AG209" s="21">
        <v>14.2</v>
      </c>
      <c r="AH209" s="18" t="s">
        <v>28</v>
      </c>
      <c r="AI209" s="13" t="str">
        <f>VLOOKUP(AH209,'Hess and Brezowsky'!$B$2:$G$31,2,FALSE)</f>
        <v>Zonal</v>
      </c>
      <c r="AJ209" s="18" t="str">
        <f>VLOOKUP(AH209,'Hess and Brezowsky'!$B$2:$G$31,3,FALSE)</f>
        <v>C</v>
      </c>
      <c r="AK209" s="13" t="str">
        <f>VLOOKUP(AH209,'Hess and Brezowsky'!$B$2:$G$31,4,FALSE)</f>
        <v>Cyclonic Westerly</v>
      </c>
      <c r="AL209" s="29">
        <v>0.32303240740740741</v>
      </c>
      <c r="AM209" s="29">
        <v>0.49722222222222223</v>
      </c>
      <c r="AN209" s="30">
        <v>0.671412037037037</v>
      </c>
    </row>
    <row r="210" spans="1:40" ht="15.75" customHeight="1" x14ac:dyDescent="0.2">
      <c r="A210" s="27">
        <v>44930</v>
      </c>
      <c r="B210" s="13">
        <v>2023</v>
      </c>
      <c r="C210" s="13">
        <v>4</v>
      </c>
      <c r="D210" s="13">
        <f t="shared" si="8"/>
        <v>4</v>
      </c>
      <c r="E210" s="13"/>
      <c r="F210" s="13">
        <f t="shared" si="7"/>
        <v>3</v>
      </c>
      <c r="G210" s="14">
        <v>1</v>
      </c>
      <c r="H210" s="14">
        <v>0</v>
      </c>
      <c r="I210" s="14">
        <v>1</v>
      </c>
      <c r="J210" s="14">
        <v>0</v>
      </c>
      <c r="K210" s="14">
        <v>0</v>
      </c>
      <c r="L210" s="14">
        <v>1</v>
      </c>
      <c r="M210" s="15">
        <v>230.74700000000001</v>
      </c>
      <c r="N210" s="16" t="str">
        <f t="shared" si="9"/>
        <v>SW</v>
      </c>
      <c r="O210" s="17">
        <v>13.2</v>
      </c>
      <c r="P210" s="16" t="s">
        <v>140</v>
      </c>
      <c r="Q210" s="18">
        <v>0.8</v>
      </c>
      <c r="R210" s="19">
        <v>12.01</v>
      </c>
      <c r="S210" s="19">
        <v>10</v>
      </c>
      <c r="T210" s="19">
        <v>13.6</v>
      </c>
      <c r="U210" s="20">
        <v>229.55</v>
      </c>
      <c r="V210" s="16" t="s">
        <v>5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0.92</v>
      </c>
      <c r="AC210" s="21">
        <v>0.08</v>
      </c>
      <c r="AD210" s="21">
        <v>0</v>
      </c>
      <c r="AE210" s="21">
        <v>11.8</v>
      </c>
      <c r="AF210" s="21">
        <v>11.56</v>
      </c>
      <c r="AG210" s="21">
        <v>15.6</v>
      </c>
      <c r="AH210" s="18" t="s">
        <v>28</v>
      </c>
      <c r="AI210" s="13" t="str">
        <f>VLOOKUP(AH210,'Hess and Brezowsky'!$B$2:$G$31,2,FALSE)</f>
        <v>Zonal</v>
      </c>
      <c r="AJ210" s="18" t="str">
        <f>VLOOKUP(AH210,'Hess and Brezowsky'!$B$2:$G$31,3,FALSE)</f>
        <v>C</v>
      </c>
      <c r="AK210" s="13" t="str">
        <f>VLOOKUP(AH210,'Hess and Brezowsky'!$B$2:$G$31,4,FALSE)</f>
        <v>Cyclonic Westerly</v>
      </c>
      <c r="AL210" s="29">
        <v>0.32292824074074072</v>
      </c>
      <c r="AM210" s="29">
        <v>0.49753472222222223</v>
      </c>
      <c r="AN210" s="30">
        <v>0.67214120370370367</v>
      </c>
    </row>
    <row r="211" spans="1:40" ht="15.75" customHeight="1" x14ac:dyDescent="0.2">
      <c r="A211" s="27">
        <v>44931</v>
      </c>
      <c r="B211" s="13">
        <v>2023</v>
      </c>
      <c r="C211" s="13">
        <v>5</v>
      </c>
      <c r="D211" s="13">
        <f t="shared" si="8"/>
        <v>5</v>
      </c>
      <c r="E211" s="13"/>
      <c r="F211" s="13">
        <f t="shared" si="7"/>
        <v>3</v>
      </c>
      <c r="G211" s="14">
        <v>1</v>
      </c>
      <c r="H211" s="14">
        <v>0</v>
      </c>
      <c r="I211" s="14">
        <v>1</v>
      </c>
      <c r="J211" s="14">
        <v>0</v>
      </c>
      <c r="K211" s="14">
        <v>0</v>
      </c>
      <c r="L211" s="14">
        <v>1</v>
      </c>
      <c r="M211" s="15">
        <v>253.47800000000001</v>
      </c>
      <c r="N211" s="16" t="str">
        <f t="shared" si="9"/>
        <v>W</v>
      </c>
      <c r="O211" s="17">
        <v>8.6999999999999993</v>
      </c>
      <c r="P211" s="16" t="s">
        <v>140</v>
      </c>
      <c r="Q211" s="18">
        <v>0.2</v>
      </c>
      <c r="R211" s="19">
        <v>12.64</v>
      </c>
      <c r="S211" s="19">
        <v>11</v>
      </c>
      <c r="T211" s="19">
        <v>13.9</v>
      </c>
      <c r="U211" s="20">
        <v>252.83</v>
      </c>
      <c r="V211" s="16" t="s">
        <v>16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0.42</v>
      </c>
      <c r="AC211" s="21">
        <v>0.57999999999999996</v>
      </c>
      <c r="AD211" s="21">
        <v>0</v>
      </c>
      <c r="AE211" s="21">
        <v>9</v>
      </c>
      <c r="AF211" s="21">
        <v>8.69</v>
      </c>
      <c r="AG211" s="21">
        <v>14.9</v>
      </c>
      <c r="AH211" s="18" t="s">
        <v>28</v>
      </c>
      <c r="AI211" s="13" t="str">
        <f>VLOOKUP(AH211,'Hess and Brezowsky'!$B$2:$G$31,2,FALSE)</f>
        <v>Zonal</v>
      </c>
      <c r="AJ211" s="18" t="str">
        <f>VLOOKUP(AH211,'Hess and Brezowsky'!$B$2:$G$31,3,FALSE)</f>
        <v>C</v>
      </c>
      <c r="AK211" s="13" t="str">
        <f>VLOOKUP(AH211,'Hess and Brezowsky'!$B$2:$G$31,4,FALSE)</f>
        <v>Cyclonic Westerly</v>
      </c>
      <c r="AL211" s="29">
        <v>0.32278935185185187</v>
      </c>
      <c r="AM211" s="29">
        <v>0.49783564814814812</v>
      </c>
      <c r="AN211" s="30">
        <v>0.67288194444444449</v>
      </c>
    </row>
    <row r="212" spans="1:40" ht="15.75" customHeight="1" x14ac:dyDescent="0.2">
      <c r="A212" s="27">
        <v>44932</v>
      </c>
      <c r="B212" s="13">
        <v>2023</v>
      </c>
      <c r="C212" s="13">
        <v>6</v>
      </c>
      <c r="D212" s="13">
        <f t="shared" si="8"/>
        <v>6</v>
      </c>
      <c r="E212" s="13"/>
      <c r="F212" s="13">
        <f t="shared" si="7"/>
        <v>3</v>
      </c>
      <c r="G212" s="14">
        <v>1</v>
      </c>
      <c r="H212" s="14">
        <v>0</v>
      </c>
      <c r="I212" s="14">
        <v>1</v>
      </c>
      <c r="J212" s="14">
        <v>0</v>
      </c>
      <c r="K212" s="14">
        <v>0</v>
      </c>
      <c r="L212" s="14">
        <v>1</v>
      </c>
      <c r="M212" s="15">
        <v>217.958</v>
      </c>
      <c r="N212" s="16" t="str">
        <f t="shared" si="9"/>
        <v>SW</v>
      </c>
      <c r="O212" s="17">
        <v>8.8000000000000007</v>
      </c>
      <c r="P212" s="16" t="s">
        <v>137</v>
      </c>
      <c r="Q212" s="18">
        <v>0</v>
      </c>
      <c r="R212" s="19">
        <v>11.53</v>
      </c>
      <c r="S212" s="19">
        <v>10.5</v>
      </c>
      <c r="T212" s="19">
        <v>13.4</v>
      </c>
      <c r="U212" s="20">
        <v>214.47</v>
      </c>
      <c r="V212" s="16" t="s">
        <v>5</v>
      </c>
      <c r="W212" s="21">
        <v>0</v>
      </c>
      <c r="X212" s="21">
        <v>0</v>
      </c>
      <c r="Y212" s="21">
        <v>0</v>
      </c>
      <c r="Z212" s="21">
        <v>0</v>
      </c>
      <c r="AA212" s="21">
        <v>0.21</v>
      </c>
      <c r="AB212" s="21">
        <v>0.79</v>
      </c>
      <c r="AC212" s="21">
        <v>0</v>
      </c>
      <c r="AD212" s="21">
        <v>0</v>
      </c>
      <c r="AE212" s="21">
        <v>7.18</v>
      </c>
      <c r="AF212" s="21">
        <v>7.06</v>
      </c>
      <c r="AG212" s="21">
        <v>10.3</v>
      </c>
      <c r="AH212" s="18" t="s">
        <v>33</v>
      </c>
      <c r="AI212" s="13" t="str">
        <f>VLOOKUP(AH212,'Hess and Brezowsky'!$B$2:$G$31,2,FALSE)</f>
        <v>Mixed</v>
      </c>
      <c r="AJ212" s="18" t="str">
        <f>VLOOKUP(AH212,'Hess and Brezowsky'!$B$2:$G$31,3,FALSE)</f>
        <v>C</v>
      </c>
      <c r="AK212" s="13" t="str">
        <f>VLOOKUP(AH212,'Hess and Brezowsky'!$B$2:$G$31,4,FALSE)</f>
        <v>Cyclonic South-Westerly</v>
      </c>
      <c r="AL212" s="29">
        <v>0.32262731481481483</v>
      </c>
      <c r="AM212" s="29">
        <v>0.49814814814814817</v>
      </c>
      <c r="AN212" s="30">
        <v>0.67365740740740743</v>
      </c>
    </row>
    <row r="213" spans="1:40" ht="15.75" customHeight="1" x14ac:dyDescent="0.2">
      <c r="A213" s="27">
        <v>44933</v>
      </c>
      <c r="B213" s="13">
        <v>2023</v>
      </c>
      <c r="C213" s="13">
        <v>7</v>
      </c>
      <c r="D213" s="13">
        <f t="shared" si="8"/>
        <v>7</v>
      </c>
      <c r="E213" s="13"/>
      <c r="F213" s="13">
        <f t="shared" si="7"/>
        <v>3</v>
      </c>
      <c r="G213" s="14">
        <v>1</v>
      </c>
      <c r="H213" s="14">
        <v>0</v>
      </c>
      <c r="I213" s="14">
        <v>0.79</v>
      </c>
      <c r="J213" s="14">
        <v>0</v>
      </c>
      <c r="K213" s="14">
        <v>0</v>
      </c>
      <c r="L213" s="14">
        <v>1</v>
      </c>
      <c r="M213" s="15">
        <v>198.48400000000001</v>
      </c>
      <c r="N213" s="16" t="str">
        <f t="shared" si="9"/>
        <v>S</v>
      </c>
      <c r="O213" s="17">
        <v>12</v>
      </c>
      <c r="P213" s="16" t="s">
        <v>137</v>
      </c>
      <c r="Q213" s="18">
        <v>1</v>
      </c>
      <c r="R213" s="19">
        <v>10.039999999999999</v>
      </c>
      <c r="S213" s="19">
        <v>7.6</v>
      </c>
      <c r="T213" s="19">
        <v>11.4</v>
      </c>
      <c r="U213" s="20">
        <v>194.69</v>
      </c>
      <c r="V213" s="16" t="s">
        <v>13</v>
      </c>
      <c r="W213" s="21">
        <v>0</v>
      </c>
      <c r="X213" s="21">
        <v>0</v>
      </c>
      <c r="Y213" s="21">
        <v>0</v>
      </c>
      <c r="Z213" s="21">
        <v>0</v>
      </c>
      <c r="AA213" s="21">
        <v>0.92</v>
      </c>
      <c r="AB213" s="21">
        <v>0.08</v>
      </c>
      <c r="AC213" s="21">
        <v>0</v>
      </c>
      <c r="AD213" s="21">
        <v>0</v>
      </c>
      <c r="AE213" s="21">
        <v>11.51</v>
      </c>
      <c r="AF213" s="21">
        <v>11.42</v>
      </c>
      <c r="AG213" s="21">
        <v>14.4</v>
      </c>
      <c r="AH213" s="18" t="s">
        <v>33</v>
      </c>
      <c r="AI213" s="13" t="str">
        <f>VLOOKUP(AH213,'Hess and Brezowsky'!$B$2:$G$31,2,FALSE)</f>
        <v>Mixed</v>
      </c>
      <c r="AJ213" s="18" t="str">
        <f>VLOOKUP(AH213,'Hess and Brezowsky'!$B$2:$G$31,3,FALSE)</f>
        <v>C</v>
      </c>
      <c r="AK213" s="13" t="str">
        <f>VLOOKUP(AH213,'Hess and Brezowsky'!$B$2:$G$31,4,FALSE)</f>
        <v>Cyclonic South-Westerly</v>
      </c>
      <c r="AL213" s="29">
        <v>0.32241898148148146</v>
      </c>
      <c r="AM213" s="29">
        <v>0.49843749999999998</v>
      </c>
      <c r="AN213" s="30">
        <v>0.67445601851851855</v>
      </c>
    </row>
    <row r="214" spans="1:40" ht="15.75" customHeight="1" x14ac:dyDescent="0.2">
      <c r="A214" s="27">
        <v>44934</v>
      </c>
      <c r="B214" s="13">
        <v>2023</v>
      </c>
      <c r="C214" s="13">
        <v>8</v>
      </c>
      <c r="D214" s="13">
        <f t="shared" si="8"/>
        <v>1</v>
      </c>
      <c r="E214" s="13"/>
      <c r="F214" s="13">
        <f t="shared" si="7"/>
        <v>3</v>
      </c>
      <c r="G214" s="14">
        <v>1</v>
      </c>
      <c r="H214" s="14">
        <v>0</v>
      </c>
      <c r="I214" s="14">
        <v>0.95</v>
      </c>
      <c r="J214" s="14">
        <v>0</v>
      </c>
      <c r="K214" s="14">
        <v>0</v>
      </c>
      <c r="L214" s="14">
        <v>1</v>
      </c>
      <c r="M214" s="15">
        <v>216.852</v>
      </c>
      <c r="N214" s="16" t="str">
        <f t="shared" si="9"/>
        <v>SW</v>
      </c>
      <c r="O214" s="17">
        <v>11.7</v>
      </c>
      <c r="P214" s="16" t="s">
        <v>137</v>
      </c>
      <c r="Q214" s="18">
        <v>2.2000000000000002</v>
      </c>
      <c r="R214" s="19">
        <v>9.36</v>
      </c>
      <c r="S214" s="19">
        <v>6.6</v>
      </c>
      <c r="T214" s="19">
        <v>11.1</v>
      </c>
      <c r="U214" s="20">
        <v>213.09</v>
      </c>
      <c r="V214" s="16" t="s">
        <v>5</v>
      </c>
      <c r="W214" s="21">
        <v>0</v>
      </c>
      <c r="X214" s="21">
        <v>0</v>
      </c>
      <c r="Y214" s="21">
        <v>0</v>
      </c>
      <c r="Z214" s="21">
        <v>0</v>
      </c>
      <c r="AA214" s="21">
        <v>0.38</v>
      </c>
      <c r="AB214" s="21">
        <v>0.57999999999999996</v>
      </c>
      <c r="AC214" s="21">
        <v>0.04</v>
      </c>
      <c r="AD214" s="21">
        <v>0</v>
      </c>
      <c r="AE214" s="21">
        <v>10.95</v>
      </c>
      <c r="AF214" s="21">
        <v>10.51</v>
      </c>
      <c r="AG214" s="21">
        <v>15.2</v>
      </c>
      <c r="AH214" s="18" t="s">
        <v>33</v>
      </c>
      <c r="AI214" s="13" t="str">
        <f>VLOOKUP(AH214,'Hess and Brezowsky'!$B$2:$G$31,2,FALSE)</f>
        <v>Mixed</v>
      </c>
      <c r="AJ214" s="18" t="str">
        <f>VLOOKUP(AH214,'Hess and Brezowsky'!$B$2:$G$31,3,FALSE)</f>
        <v>C</v>
      </c>
      <c r="AK214" s="13" t="str">
        <f>VLOOKUP(AH214,'Hess and Brezowsky'!$B$2:$G$31,4,FALSE)</f>
        <v>Cyclonic South-Westerly</v>
      </c>
      <c r="AL214" s="29">
        <v>0.32218750000000002</v>
      </c>
      <c r="AM214" s="29">
        <v>0.49873842592592593</v>
      </c>
      <c r="AN214" s="30">
        <v>0.6752893518518519</v>
      </c>
    </row>
    <row r="215" spans="1:40" ht="15.75" customHeight="1" x14ac:dyDescent="0.2">
      <c r="A215" s="27">
        <v>44935</v>
      </c>
      <c r="B215" s="13">
        <v>2023</v>
      </c>
      <c r="C215" s="13">
        <v>9</v>
      </c>
      <c r="D215" s="13">
        <f t="shared" si="8"/>
        <v>2</v>
      </c>
      <c r="E215" s="13"/>
      <c r="F215" s="13">
        <f t="shared" si="7"/>
        <v>3</v>
      </c>
      <c r="G215" s="14">
        <v>1</v>
      </c>
      <c r="H215" s="14">
        <v>0</v>
      </c>
      <c r="I215" s="14">
        <v>1</v>
      </c>
      <c r="J215" s="14">
        <v>0</v>
      </c>
      <c r="K215" s="14">
        <v>0</v>
      </c>
      <c r="L215" s="14">
        <v>1</v>
      </c>
      <c r="M215" s="15">
        <v>257.85500000000002</v>
      </c>
      <c r="N215" s="16" t="str">
        <f t="shared" si="9"/>
        <v>W</v>
      </c>
      <c r="O215" s="17">
        <v>12</v>
      </c>
      <c r="P215" s="16" t="s">
        <v>137</v>
      </c>
      <c r="Q215" s="18">
        <v>4.2</v>
      </c>
      <c r="R215" s="19">
        <v>7.23</v>
      </c>
      <c r="S215" s="19">
        <v>5.6</v>
      </c>
      <c r="T215" s="19">
        <v>9.5</v>
      </c>
      <c r="U215" s="20">
        <v>259.20999999999998</v>
      </c>
      <c r="V215" s="16" t="s">
        <v>16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0.33</v>
      </c>
      <c r="AC215" s="21">
        <v>0.67</v>
      </c>
      <c r="AD215" s="21">
        <v>0</v>
      </c>
      <c r="AE215" s="21">
        <v>14.25</v>
      </c>
      <c r="AF215" s="21">
        <v>13.5</v>
      </c>
      <c r="AG215" s="21">
        <v>19.600000000000001</v>
      </c>
      <c r="AH215" s="18" t="s">
        <v>33</v>
      </c>
      <c r="AI215" s="13" t="str">
        <f>VLOOKUP(AH215,'Hess and Brezowsky'!$B$2:$G$31,2,FALSE)</f>
        <v>Mixed</v>
      </c>
      <c r="AJ215" s="18" t="str">
        <f>VLOOKUP(AH215,'Hess and Brezowsky'!$B$2:$G$31,3,FALSE)</f>
        <v>C</v>
      </c>
      <c r="AK215" s="13" t="str">
        <f>VLOOKUP(AH215,'Hess and Brezowsky'!$B$2:$G$31,4,FALSE)</f>
        <v>Cyclonic South-Westerly</v>
      </c>
      <c r="AL215" s="29">
        <v>0.32192129629629629</v>
      </c>
      <c r="AM215" s="29">
        <v>0.49902777777777779</v>
      </c>
      <c r="AN215" s="30">
        <v>0.6761342592592593</v>
      </c>
    </row>
    <row r="216" spans="1:40" ht="15.75" customHeight="1" x14ac:dyDescent="0.2">
      <c r="A216" s="27">
        <v>44936</v>
      </c>
      <c r="B216" s="13">
        <v>2023</v>
      </c>
      <c r="C216" s="13">
        <v>10</v>
      </c>
      <c r="D216" s="13">
        <f t="shared" si="8"/>
        <v>3</v>
      </c>
      <c r="E216" s="13"/>
      <c r="F216" s="13">
        <f t="shared" si="7"/>
        <v>2</v>
      </c>
      <c r="G216" s="14">
        <v>0</v>
      </c>
      <c r="H216" s="14">
        <v>0</v>
      </c>
      <c r="I216" s="14">
        <v>1</v>
      </c>
      <c r="J216" s="14">
        <v>0</v>
      </c>
      <c r="K216" s="14">
        <v>0</v>
      </c>
      <c r="L216" s="14">
        <v>1</v>
      </c>
      <c r="M216" s="15">
        <v>219.239</v>
      </c>
      <c r="N216" s="16" t="str">
        <f t="shared" si="9"/>
        <v>SW</v>
      </c>
      <c r="O216" s="17">
        <v>11</v>
      </c>
      <c r="P216" s="16" t="s">
        <v>140</v>
      </c>
      <c r="Q216" s="18">
        <v>2.6</v>
      </c>
      <c r="R216" s="19">
        <v>7.47</v>
      </c>
      <c r="S216" s="19">
        <v>4.3</v>
      </c>
      <c r="T216" s="19">
        <v>12</v>
      </c>
      <c r="U216" s="20">
        <v>219.26</v>
      </c>
      <c r="V216" s="16" t="s">
        <v>5</v>
      </c>
      <c r="W216" s="21">
        <v>0</v>
      </c>
      <c r="X216" s="21">
        <v>0</v>
      </c>
      <c r="Y216" s="21">
        <v>0</v>
      </c>
      <c r="Z216" s="21">
        <v>0</v>
      </c>
      <c r="AA216" s="21">
        <v>0.33</v>
      </c>
      <c r="AB216" s="21">
        <v>0.46</v>
      </c>
      <c r="AC216" s="21">
        <v>0.21</v>
      </c>
      <c r="AD216" s="21">
        <v>0</v>
      </c>
      <c r="AE216" s="21">
        <v>11.56</v>
      </c>
      <c r="AF216" s="21">
        <v>10.44</v>
      </c>
      <c r="AG216" s="21">
        <v>14.7</v>
      </c>
      <c r="AH216" s="18" t="s">
        <v>37</v>
      </c>
      <c r="AI216" s="13" t="str">
        <f>VLOOKUP(AH216,'Hess and Brezowsky'!$B$2:$G$31,2,FALSE)</f>
        <v>Zonal</v>
      </c>
      <c r="AJ216" s="18" t="str">
        <f>VLOOKUP(AH216,'Hess and Brezowsky'!$B$2:$G$31,3,FALSE)</f>
        <v>M</v>
      </c>
      <c r="AK216" s="13" t="str">
        <f>VLOOKUP(AH216,'Hess and Brezowsky'!$B$2:$G$31,4,FALSE)</f>
        <v>Maritime Westerly (Block Eastern Europe)</v>
      </c>
      <c r="AL216" s="29">
        <v>0.32162037037037039</v>
      </c>
      <c r="AM216" s="29">
        <v>0.49930555555555556</v>
      </c>
      <c r="AN216" s="30">
        <v>0.67700231481481477</v>
      </c>
    </row>
    <row r="217" spans="1:40" ht="15.75" customHeight="1" x14ac:dyDescent="0.2">
      <c r="A217" s="27">
        <v>44937</v>
      </c>
      <c r="B217" s="13">
        <v>2023</v>
      </c>
      <c r="C217" s="13">
        <v>11</v>
      </c>
      <c r="D217" s="13">
        <f t="shared" si="8"/>
        <v>4</v>
      </c>
      <c r="E217" s="13"/>
      <c r="F217" s="13">
        <f t="shared" si="7"/>
        <v>2</v>
      </c>
      <c r="G217" s="14">
        <v>0</v>
      </c>
      <c r="H217" s="14">
        <v>0</v>
      </c>
      <c r="I217" s="14">
        <v>0.95</v>
      </c>
      <c r="J217" s="14">
        <v>0</v>
      </c>
      <c r="K217" s="14">
        <v>0</v>
      </c>
      <c r="L217" s="14">
        <v>1</v>
      </c>
      <c r="M217" s="15">
        <v>241.721</v>
      </c>
      <c r="N217" s="16" t="str">
        <f t="shared" si="9"/>
        <v>SW</v>
      </c>
      <c r="O217" s="17">
        <v>10.9</v>
      </c>
      <c r="P217" s="16" t="s">
        <v>137</v>
      </c>
      <c r="Q217" s="18">
        <v>3.8</v>
      </c>
      <c r="R217" s="19">
        <v>10.78</v>
      </c>
      <c r="S217" s="19">
        <v>9.3000000000000007</v>
      </c>
      <c r="T217" s="19">
        <v>12.2</v>
      </c>
      <c r="U217" s="20">
        <v>242.19</v>
      </c>
      <c r="V217" s="16" t="s">
        <v>5</v>
      </c>
      <c r="W217" s="21">
        <v>0</v>
      </c>
      <c r="X217" s="21">
        <v>0</v>
      </c>
      <c r="Y217" s="21">
        <v>0</v>
      </c>
      <c r="Z217" s="21">
        <v>0</v>
      </c>
      <c r="AA217" s="21">
        <v>0</v>
      </c>
      <c r="AB217" s="21">
        <v>0.62</v>
      </c>
      <c r="AC217" s="21">
        <v>0.38</v>
      </c>
      <c r="AD217" s="21">
        <v>0</v>
      </c>
      <c r="AE217" s="21">
        <v>11.96</v>
      </c>
      <c r="AF217" s="21">
        <v>11.15</v>
      </c>
      <c r="AG217" s="21">
        <v>14.9</v>
      </c>
      <c r="AH217" s="18" t="s">
        <v>37</v>
      </c>
      <c r="AI217" s="13" t="str">
        <f>VLOOKUP(AH217,'Hess and Brezowsky'!$B$2:$G$31,2,FALSE)</f>
        <v>Zonal</v>
      </c>
      <c r="AJ217" s="18" t="str">
        <f>VLOOKUP(AH217,'Hess and Brezowsky'!$B$2:$G$31,3,FALSE)</f>
        <v>M</v>
      </c>
      <c r="AK217" s="13" t="str">
        <f>VLOOKUP(AH217,'Hess and Brezowsky'!$B$2:$G$31,4,FALSE)</f>
        <v>Maritime Westerly (Block Eastern Europe)</v>
      </c>
      <c r="AL217" s="29">
        <v>0.32128472222222221</v>
      </c>
      <c r="AM217" s="29">
        <v>0.49958333333333332</v>
      </c>
      <c r="AN217" s="30">
        <v>0.67789351851851853</v>
      </c>
    </row>
    <row r="218" spans="1:40" ht="15.75" customHeight="1" x14ac:dyDescent="0.2">
      <c r="A218" s="27">
        <v>44938</v>
      </c>
      <c r="B218" s="13">
        <v>2023</v>
      </c>
      <c r="C218" s="13">
        <v>12</v>
      </c>
      <c r="D218" s="13">
        <f t="shared" si="8"/>
        <v>5</v>
      </c>
      <c r="E218" s="13"/>
      <c r="F218" s="13">
        <f t="shared" si="7"/>
        <v>3</v>
      </c>
      <c r="G218" s="14">
        <v>1</v>
      </c>
      <c r="H218" s="14">
        <v>0</v>
      </c>
      <c r="I218" s="14">
        <v>1</v>
      </c>
      <c r="J218" s="14">
        <v>0</v>
      </c>
      <c r="K218" s="14">
        <v>0</v>
      </c>
      <c r="L218" s="14">
        <v>1</v>
      </c>
      <c r="M218" s="15">
        <v>224.744</v>
      </c>
      <c r="N218" s="16" t="str">
        <f t="shared" si="9"/>
        <v>SW</v>
      </c>
      <c r="O218" s="17">
        <v>13.5</v>
      </c>
      <c r="P218" s="16" t="s">
        <v>140</v>
      </c>
      <c r="Q218" s="18">
        <v>1.2</v>
      </c>
      <c r="R218" s="19">
        <v>10.86</v>
      </c>
      <c r="S218" s="19">
        <v>9.6</v>
      </c>
      <c r="T218" s="19">
        <v>11.8</v>
      </c>
      <c r="U218" s="20">
        <v>225.53</v>
      </c>
      <c r="V218" s="16" t="s">
        <v>5</v>
      </c>
      <c r="W218" s="21">
        <v>0</v>
      </c>
      <c r="X218" s="21">
        <v>0</v>
      </c>
      <c r="Y218" s="21">
        <v>0</v>
      </c>
      <c r="Z218" s="21">
        <v>0</v>
      </c>
      <c r="AA218" s="21">
        <v>0</v>
      </c>
      <c r="AB218" s="21">
        <v>1</v>
      </c>
      <c r="AC218" s="21">
        <v>0</v>
      </c>
      <c r="AD218" s="21">
        <v>0</v>
      </c>
      <c r="AE218" s="21">
        <v>11.65</v>
      </c>
      <c r="AF218" s="21">
        <v>11.62</v>
      </c>
      <c r="AG218" s="21">
        <v>15.2</v>
      </c>
      <c r="AH218" s="18" t="s">
        <v>37</v>
      </c>
      <c r="AI218" s="13" t="str">
        <f>VLOOKUP(AH218,'Hess and Brezowsky'!$B$2:$G$31,2,FALSE)</f>
        <v>Zonal</v>
      </c>
      <c r="AJ218" s="18" t="str">
        <f>VLOOKUP(AH218,'Hess and Brezowsky'!$B$2:$G$31,3,FALSE)</f>
        <v>M</v>
      </c>
      <c r="AK218" s="13" t="str">
        <f>VLOOKUP(AH218,'Hess and Brezowsky'!$B$2:$G$31,4,FALSE)</f>
        <v>Maritime Westerly (Block Eastern Europe)</v>
      </c>
      <c r="AL218" s="29">
        <v>0.32091435185185185</v>
      </c>
      <c r="AM218" s="29">
        <v>0.49986111111111109</v>
      </c>
      <c r="AN218" s="30">
        <v>0.67879629629629634</v>
      </c>
    </row>
    <row r="219" spans="1:40" ht="15.75" customHeight="1" x14ac:dyDescent="0.2">
      <c r="A219" s="27">
        <v>44939</v>
      </c>
      <c r="B219" s="13">
        <v>2023</v>
      </c>
      <c r="C219" s="13">
        <v>13</v>
      </c>
      <c r="D219" s="13">
        <f t="shared" si="8"/>
        <v>6</v>
      </c>
      <c r="E219" s="13"/>
      <c r="F219" s="13">
        <f t="shared" si="7"/>
        <v>2</v>
      </c>
      <c r="G219" s="14">
        <v>0</v>
      </c>
      <c r="H219" s="14">
        <v>0</v>
      </c>
      <c r="I219" s="14">
        <v>1</v>
      </c>
      <c r="J219" s="14">
        <v>0</v>
      </c>
      <c r="K219" s="14">
        <v>0</v>
      </c>
      <c r="L219" s="14">
        <v>1</v>
      </c>
      <c r="M219" s="15">
        <v>252.29499999999999</v>
      </c>
      <c r="N219" s="16" t="str">
        <f t="shared" si="9"/>
        <v>W</v>
      </c>
      <c r="O219" s="17">
        <v>11</v>
      </c>
      <c r="P219" s="16" t="s">
        <v>137</v>
      </c>
      <c r="Q219" s="18">
        <v>2.2000000000000002</v>
      </c>
      <c r="R219" s="19">
        <v>9.3800000000000008</v>
      </c>
      <c r="S219" s="19">
        <v>7.8</v>
      </c>
      <c r="T219" s="19">
        <v>11.2</v>
      </c>
      <c r="U219" s="20">
        <v>250.89</v>
      </c>
      <c r="V219" s="16" t="s">
        <v>16</v>
      </c>
      <c r="W219" s="21">
        <v>0</v>
      </c>
      <c r="X219" s="21">
        <v>0</v>
      </c>
      <c r="Y219" s="21">
        <v>0</v>
      </c>
      <c r="Z219" s="21">
        <v>0</v>
      </c>
      <c r="AA219" s="21">
        <v>0</v>
      </c>
      <c r="AB219" s="21">
        <v>0.28999999999999998</v>
      </c>
      <c r="AC219" s="21">
        <v>0.71</v>
      </c>
      <c r="AD219" s="21">
        <v>0</v>
      </c>
      <c r="AE219" s="21">
        <v>12.89</v>
      </c>
      <c r="AF219" s="21">
        <v>12.78</v>
      </c>
      <c r="AG219" s="21">
        <v>16.3</v>
      </c>
      <c r="AH219" s="18" t="s">
        <v>28</v>
      </c>
      <c r="AI219" s="13" t="str">
        <f>VLOOKUP(AH219,'Hess and Brezowsky'!$B$2:$G$31,2,FALSE)</f>
        <v>Zonal</v>
      </c>
      <c r="AJ219" s="18" t="str">
        <f>VLOOKUP(AH219,'Hess and Brezowsky'!$B$2:$G$31,3,FALSE)</f>
        <v>C</v>
      </c>
      <c r="AK219" s="13" t="str">
        <f>VLOOKUP(AH219,'Hess and Brezowsky'!$B$2:$G$31,4,FALSE)</f>
        <v>Cyclonic Westerly</v>
      </c>
      <c r="AL219" s="29">
        <v>0.32052083333333331</v>
      </c>
      <c r="AM219" s="29">
        <v>0.50012731481481476</v>
      </c>
      <c r="AN219" s="30">
        <v>0.67973379629629627</v>
      </c>
    </row>
    <row r="220" spans="1:40" ht="15.75" customHeight="1" x14ac:dyDescent="0.2">
      <c r="A220" s="27">
        <v>44940</v>
      </c>
      <c r="B220" s="13">
        <v>2023</v>
      </c>
      <c r="C220" s="13">
        <v>14</v>
      </c>
      <c r="D220" s="13">
        <f t="shared" si="8"/>
        <v>7</v>
      </c>
      <c r="E220" s="13"/>
      <c r="F220" s="13">
        <f t="shared" si="7"/>
        <v>2</v>
      </c>
      <c r="G220" s="14">
        <v>0</v>
      </c>
      <c r="H220" s="14">
        <v>0</v>
      </c>
      <c r="I220" s="14">
        <v>1</v>
      </c>
      <c r="J220" s="14">
        <v>0</v>
      </c>
      <c r="K220" s="14">
        <v>0</v>
      </c>
      <c r="L220" s="14">
        <v>1</v>
      </c>
      <c r="M220" s="15">
        <v>223.62299999999999</v>
      </c>
      <c r="N220" s="16" t="str">
        <f t="shared" si="9"/>
        <v>SW</v>
      </c>
      <c r="O220" s="17">
        <v>13.1</v>
      </c>
      <c r="P220" s="16" t="s">
        <v>140</v>
      </c>
      <c r="Q220" s="18">
        <v>13.3</v>
      </c>
      <c r="R220" s="19">
        <v>10.28</v>
      </c>
      <c r="S220" s="19">
        <v>7.5</v>
      </c>
      <c r="T220" s="19">
        <v>12.4</v>
      </c>
      <c r="U220" s="20">
        <v>220.62</v>
      </c>
      <c r="V220" s="16" t="s">
        <v>5</v>
      </c>
      <c r="W220" s="21">
        <v>0</v>
      </c>
      <c r="X220" s="21">
        <v>0</v>
      </c>
      <c r="Y220" s="21">
        <v>0</v>
      </c>
      <c r="Z220" s="21">
        <v>0</v>
      </c>
      <c r="AA220" s="21">
        <v>0.17</v>
      </c>
      <c r="AB220" s="21">
        <v>0.62</v>
      </c>
      <c r="AC220" s="21">
        <v>0.21</v>
      </c>
      <c r="AD220" s="21">
        <v>0</v>
      </c>
      <c r="AE220" s="21">
        <v>12.99</v>
      </c>
      <c r="AF220" s="21">
        <v>11.46</v>
      </c>
      <c r="AG220" s="21">
        <v>18</v>
      </c>
      <c r="AH220" s="18" t="s">
        <v>28</v>
      </c>
      <c r="AI220" s="13" t="str">
        <f>VLOOKUP(AH220,'Hess and Brezowsky'!$B$2:$G$31,2,FALSE)</f>
        <v>Zonal</v>
      </c>
      <c r="AJ220" s="18" t="str">
        <f>VLOOKUP(AH220,'Hess and Brezowsky'!$B$2:$G$31,3,FALSE)</f>
        <v>C</v>
      </c>
      <c r="AK220" s="13" t="str">
        <f>VLOOKUP(AH220,'Hess and Brezowsky'!$B$2:$G$31,4,FALSE)</f>
        <v>Cyclonic Westerly</v>
      </c>
      <c r="AL220" s="29">
        <v>0.3200925925925926</v>
      </c>
      <c r="AM220" s="29">
        <v>0.50038194444444439</v>
      </c>
      <c r="AN220" s="30">
        <v>0.68068287037037034</v>
      </c>
    </row>
    <row r="221" spans="1:40" ht="15.75" customHeight="1" x14ac:dyDescent="0.2">
      <c r="A221" s="27">
        <v>44941</v>
      </c>
      <c r="B221" s="13">
        <v>2023</v>
      </c>
      <c r="C221" s="13">
        <v>15</v>
      </c>
      <c r="D221" s="13">
        <f t="shared" si="8"/>
        <v>1</v>
      </c>
      <c r="E221" s="13"/>
      <c r="F221" s="13">
        <f t="shared" si="7"/>
        <v>2</v>
      </c>
      <c r="G221" s="14">
        <v>0</v>
      </c>
      <c r="H221" s="14">
        <v>0</v>
      </c>
      <c r="I221" s="14">
        <v>1</v>
      </c>
      <c r="J221" s="14">
        <v>0</v>
      </c>
      <c r="K221" s="14">
        <v>0</v>
      </c>
      <c r="L221" s="14">
        <v>1</v>
      </c>
      <c r="M221" s="15">
        <v>239.553</v>
      </c>
      <c r="N221" s="16" t="str">
        <f t="shared" si="9"/>
        <v>SW</v>
      </c>
      <c r="O221" s="17">
        <v>11.8</v>
      </c>
      <c r="P221" s="16" t="s">
        <v>137</v>
      </c>
      <c r="Q221" s="18">
        <v>0.4</v>
      </c>
      <c r="R221" s="19">
        <v>7.22</v>
      </c>
      <c r="S221" s="19">
        <v>5.7</v>
      </c>
      <c r="T221" s="19">
        <v>9.4</v>
      </c>
      <c r="U221" s="20">
        <v>237.51</v>
      </c>
      <c r="V221" s="16" t="s">
        <v>5</v>
      </c>
      <c r="W221" s="21">
        <v>0</v>
      </c>
      <c r="X221" s="21">
        <v>0</v>
      </c>
      <c r="Y221" s="21">
        <v>0</v>
      </c>
      <c r="Z221" s="21">
        <v>0</v>
      </c>
      <c r="AA221" s="21">
        <v>0.08</v>
      </c>
      <c r="AB221" s="21">
        <v>0.67</v>
      </c>
      <c r="AC221" s="21">
        <v>0.25</v>
      </c>
      <c r="AD221" s="21">
        <v>0</v>
      </c>
      <c r="AE221" s="21">
        <v>12.75</v>
      </c>
      <c r="AF221" s="21">
        <v>12.14</v>
      </c>
      <c r="AG221" s="21">
        <v>19.100000000000001</v>
      </c>
      <c r="AH221" s="18" t="s">
        <v>28</v>
      </c>
      <c r="AI221" s="13" t="str">
        <f>VLOOKUP(AH221,'Hess and Brezowsky'!$B$2:$G$31,2,FALSE)</f>
        <v>Zonal</v>
      </c>
      <c r="AJ221" s="18" t="str">
        <f>VLOOKUP(AH221,'Hess and Brezowsky'!$B$2:$G$31,3,FALSE)</f>
        <v>C</v>
      </c>
      <c r="AK221" s="13" t="str">
        <f>VLOOKUP(AH221,'Hess and Brezowsky'!$B$2:$G$31,4,FALSE)</f>
        <v>Cyclonic Westerly</v>
      </c>
      <c r="AL221" s="29">
        <v>0.31962962962962965</v>
      </c>
      <c r="AM221" s="29">
        <v>0.50063657407407403</v>
      </c>
      <c r="AN221" s="30">
        <v>0.68164351851851857</v>
      </c>
    </row>
    <row r="222" spans="1:40" ht="15.75" customHeight="1" x14ac:dyDescent="0.2">
      <c r="A222" s="27">
        <v>44942</v>
      </c>
      <c r="B222" s="13">
        <v>2023</v>
      </c>
      <c r="C222" s="13">
        <v>16</v>
      </c>
      <c r="D222" s="13">
        <f t="shared" si="8"/>
        <v>2</v>
      </c>
      <c r="E222" s="13"/>
      <c r="F222" s="13">
        <f t="shared" si="7"/>
        <v>2</v>
      </c>
      <c r="G222" s="14">
        <v>0</v>
      </c>
      <c r="H222" s="14">
        <v>0</v>
      </c>
      <c r="I222" s="14">
        <v>1</v>
      </c>
      <c r="J222" s="14">
        <v>0</v>
      </c>
      <c r="K222" s="14">
        <v>0</v>
      </c>
      <c r="L222" s="14">
        <v>1</v>
      </c>
      <c r="M222" s="15">
        <v>240.048</v>
      </c>
      <c r="N222" s="16" t="str">
        <f t="shared" si="9"/>
        <v>SW</v>
      </c>
      <c r="O222" s="17">
        <v>13</v>
      </c>
      <c r="P222" s="16" t="s">
        <v>140</v>
      </c>
      <c r="Q222" s="18">
        <v>9.3000000000000007</v>
      </c>
      <c r="R222" s="19">
        <v>5.42</v>
      </c>
      <c r="S222" s="19">
        <v>2.2000000000000002</v>
      </c>
      <c r="T222" s="19">
        <v>7</v>
      </c>
      <c r="U222" s="20">
        <v>237.82</v>
      </c>
      <c r="V222" s="16" t="s">
        <v>5</v>
      </c>
      <c r="W222" s="21">
        <v>0</v>
      </c>
      <c r="X222" s="21">
        <v>0</v>
      </c>
      <c r="Y222" s="21">
        <v>0</v>
      </c>
      <c r="Z222" s="21">
        <v>0</v>
      </c>
      <c r="AA222" s="21">
        <v>0.25</v>
      </c>
      <c r="AB222" s="21">
        <v>0.21</v>
      </c>
      <c r="AC222" s="21">
        <v>0.54</v>
      </c>
      <c r="AD222" s="21">
        <v>0</v>
      </c>
      <c r="AE222" s="21">
        <v>14.38</v>
      </c>
      <c r="AF222" s="21">
        <v>10.49</v>
      </c>
      <c r="AG222" s="21">
        <v>24.6</v>
      </c>
      <c r="AH222" s="18" t="s">
        <v>12</v>
      </c>
      <c r="AI222" s="13" t="str">
        <f>VLOOKUP(AH222,'Hess and Brezowsky'!$B$2:$G$31,2,FALSE)</f>
        <v>Undefined</v>
      </c>
      <c r="AJ222" s="18" t="str">
        <f>VLOOKUP(AH222,'Hess and Brezowsky'!$B$2:$G$31,3,FALSE)</f>
        <v>M</v>
      </c>
      <c r="AK222" s="13" t="str">
        <f>VLOOKUP(AH222,'Hess and Brezowsky'!$B$2:$G$31,4,FALSE)</f>
        <v>Transistion / Undefined</v>
      </c>
      <c r="AL222" s="29">
        <v>0.31913194444444443</v>
      </c>
      <c r="AM222" s="29">
        <v>0.50087962962962962</v>
      </c>
      <c r="AN222" s="30">
        <v>0.68262731481481487</v>
      </c>
    </row>
    <row r="223" spans="1:40" ht="15.75" customHeight="1" x14ac:dyDescent="0.2">
      <c r="A223" s="27">
        <v>44943</v>
      </c>
      <c r="B223" s="13">
        <v>2023</v>
      </c>
      <c r="C223" s="13">
        <v>17</v>
      </c>
      <c r="D223" s="13">
        <f t="shared" si="8"/>
        <v>3</v>
      </c>
      <c r="E223" s="13"/>
      <c r="F223" s="13">
        <f t="shared" si="7"/>
        <v>2</v>
      </c>
      <c r="G223" s="14">
        <v>0</v>
      </c>
      <c r="H223" s="14">
        <v>0</v>
      </c>
      <c r="I223" s="14">
        <v>0.95</v>
      </c>
      <c r="J223" s="14">
        <v>0</v>
      </c>
      <c r="K223" s="14">
        <v>0</v>
      </c>
      <c r="L223" s="14">
        <v>1</v>
      </c>
      <c r="M223" s="15">
        <v>41.584000000000003</v>
      </c>
      <c r="N223" s="16" t="str">
        <f t="shared" si="9"/>
        <v>NE</v>
      </c>
      <c r="O223" s="17">
        <v>5.4</v>
      </c>
      <c r="P223" s="16" t="s">
        <v>140</v>
      </c>
      <c r="Q223" s="18">
        <v>0.6</v>
      </c>
      <c r="R223" s="19">
        <v>2.61</v>
      </c>
      <c r="S223" s="19">
        <v>1</v>
      </c>
      <c r="T223" s="19">
        <v>4.2</v>
      </c>
      <c r="U223" s="20">
        <v>43.44</v>
      </c>
      <c r="V223" s="16" t="s">
        <v>10</v>
      </c>
      <c r="W223" s="21">
        <v>0.25</v>
      </c>
      <c r="X223" s="21">
        <v>0.28999999999999998</v>
      </c>
      <c r="Y223" s="21">
        <v>0.17</v>
      </c>
      <c r="Z223" s="21">
        <v>0.17</v>
      </c>
      <c r="AA223" s="21">
        <v>0</v>
      </c>
      <c r="AB223" s="21">
        <v>0.12</v>
      </c>
      <c r="AC223" s="21">
        <v>0</v>
      </c>
      <c r="AD223" s="21">
        <v>0</v>
      </c>
      <c r="AE223" s="21">
        <v>5.33</v>
      </c>
      <c r="AF223" s="21">
        <v>3.44</v>
      </c>
      <c r="AG223" s="21">
        <v>8.5</v>
      </c>
      <c r="AH223" s="18" t="s">
        <v>30</v>
      </c>
      <c r="AI223" s="13" t="str">
        <f>VLOOKUP(AH223,'Hess and Brezowsky'!$B$2:$G$31,2,FALSE)</f>
        <v>Meridional</v>
      </c>
      <c r="AJ223" s="18" t="str">
        <f>VLOOKUP(AH223,'Hess and Brezowsky'!$B$2:$G$31,3,FALSE)</f>
        <v>M</v>
      </c>
      <c r="AK223" s="13" t="str">
        <f>VLOOKUP(AH223,'Hess and Brezowsky'!$B$2:$G$31,4,FALSE)</f>
        <v>Trough over Central Europe</v>
      </c>
      <c r="AL223" s="29">
        <v>0.31861111111111112</v>
      </c>
      <c r="AM223" s="29">
        <v>0.50112268518518521</v>
      </c>
      <c r="AN223" s="30">
        <v>0.68363425925925925</v>
      </c>
    </row>
    <row r="224" spans="1:40" ht="15.75" customHeight="1" x14ac:dyDescent="0.2">
      <c r="A224" s="27">
        <v>44944</v>
      </c>
      <c r="B224" s="13">
        <v>2023</v>
      </c>
      <c r="C224" s="13">
        <v>18</v>
      </c>
      <c r="D224" s="13">
        <f t="shared" si="8"/>
        <v>4</v>
      </c>
      <c r="E224" s="13"/>
      <c r="F224" s="13">
        <f t="shared" si="7"/>
        <v>2</v>
      </c>
      <c r="G224" s="14">
        <v>0</v>
      </c>
      <c r="H224" s="14">
        <v>0</v>
      </c>
      <c r="I224" s="14">
        <v>0.79</v>
      </c>
      <c r="J224" s="14">
        <v>0</v>
      </c>
      <c r="K224" s="14">
        <v>0</v>
      </c>
      <c r="L224" s="14">
        <v>1</v>
      </c>
      <c r="M224" s="15">
        <v>293.85199999999998</v>
      </c>
      <c r="N224" s="16" t="str">
        <f t="shared" si="9"/>
        <v>NW</v>
      </c>
      <c r="O224" s="17">
        <v>6</v>
      </c>
      <c r="P224" s="16" t="s">
        <v>138</v>
      </c>
      <c r="Q224" s="18">
        <v>0</v>
      </c>
      <c r="R224" s="19">
        <v>2.57</v>
      </c>
      <c r="S224" s="19">
        <v>-0.1</v>
      </c>
      <c r="T224" s="19">
        <v>5.7</v>
      </c>
      <c r="U224" s="20">
        <v>288.75</v>
      </c>
      <c r="V224" s="16" t="s">
        <v>16</v>
      </c>
      <c r="W224" s="21">
        <v>0.17</v>
      </c>
      <c r="X224" s="21">
        <v>0</v>
      </c>
      <c r="Y224" s="21">
        <v>0</v>
      </c>
      <c r="Z224" s="21">
        <v>0</v>
      </c>
      <c r="AA224" s="21">
        <v>0</v>
      </c>
      <c r="AB224" s="21">
        <v>0.04</v>
      </c>
      <c r="AC224" s="21">
        <v>0.57999999999999996</v>
      </c>
      <c r="AD224" s="21">
        <v>0.21</v>
      </c>
      <c r="AE224" s="21">
        <v>6.6</v>
      </c>
      <c r="AF224" s="21">
        <v>5.1100000000000003</v>
      </c>
      <c r="AG224" s="21">
        <v>10.6</v>
      </c>
      <c r="AH224" s="18" t="s">
        <v>30</v>
      </c>
      <c r="AI224" s="13" t="str">
        <f>VLOOKUP(AH224,'Hess and Brezowsky'!$B$2:$G$31,2,FALSE)</f>
        <v>Meridional</v>
      </c>
      <c r="AJ224" s="18" t="str">
        <f>VLOOKUP(AH224,'Hess and Brezowsky'!$B$2:$G$31,3,FALSE)</f>
        <v>M</v>
      </c>
      <c r="AK224" s="13" t="str">
        <f>VLOOKUP(AH224,'Hess and Brezowsky'!$B$2:$G$31,4,FALSE)</f>
        <v>Trough over Central Europe</v>
      </c>
      <c r="AL224" s="29">
        <v>0.31806712962962963</v>
      </c>
      <c r="AM224" s="29">
        <v>0.50135416666666666</v>
      </c>
      <c r="AN224" s="30">
        <v>0.68464120370370374</v>
      </c>
    </row>
    <row r="225" spans="1:40" ht="15.75" customHeight="1" x14ac:dyDescent="0.2">
      <c r="A225" s="27">
        <v>44945</v>
      </c>
      <c r="B225" s="13">
        <v>2023</v>
      </c>
      <c r="C225" s="13">
        <v>19</v>
      </c>
      <c r="D225" s="13">
        <f t="shared" si="8"/>
        <v>5</v>
      </c>
      <c r="E225" s="13"/>
      <c r="F225" s="13">
        <f t="shared" si="7"/>
        <v>2</v>
      </c>
      <c r="G225" s="14">
        <v>0</v>
      </c>
      <c r="H225" s="14">
        <v>0</v>
      </c>
      <c r="I225" s="14">
        <v>1</v>
      </c>
      <c r="J225" s="14">
        <v>0</v>
      </c>
      <c r="K225" s="14">
        <v>0</v>
      </c>
      <c r="L225" s="14">
        <v>1</v>
      </c>
      <c r="M225" s="15">
        <v>250.65899999999999</v>
      </c>
      <c r="N225" s="16" t="str">
        <f t="shared" si="9"/>
        <v>W</v>
      </c>
      <c r="O225" s="17">
        <v>3.5</v>
      </c>
      <c r="P225" s="16" t="s">
        <v>140</v>
      </c>
      <c r="Q225" s="18">
        <v>1.6</v>
      </c>
      <c r="R225" s="19">
        <v>1.63</v>
      </c>
      <c r="S225" s="19">
        <v>0.4</v>
      </c>
      <c r="T225" s="19">
        <v>2.9</v>
      </c>
      <c r="U225" s="20">
        <v>264.60000000000002</v>
      </c>
      <c r="V225" s="16" t="s">
        <v>16</v>
      </c>
      <c r="W225" s="21">
        <v>0.04</v>
      </c>
      <c r="X225" s="21">
        <v>0</v>
      </c>
      <c r="Y225" s="21">
        <v>0</v>
      </c>
      <c r="Z225" s="21">
        <v>0</v>
      </c>
      <c r="AA225" s="21">
        <v>0.25</v>
      </c>
      <c r="AB225" s="21">
        <v>0.12</v>
      </c>
      <c r="AC225" s="21">
        <v>0.42</v>
      </c>
      <c r="AD225" s="21">
        <v>0.17</v>
      </c>
      <c r="AE225" s="21">
        <v>3.87</v>
      </c>
      <c r="AF225" s="21">
        <v>2.59</v>
      </c>
      <c r="AG225" s="21">
        <v>7.3</v>
      </c>
      <c r="AH225" s="18" t="s">
        <v>30</v>
      </c>
      <c r="AI225" s="13" t="str">
        <f>VLOOKUP(AH225,'Hess and Brezowsky'!$B$2:$G$31,2,FALSE)</f>
        <v>Meridional</v>
      </c>
      <c r="AJ225" s="18" t="str">
        <f>VLOOKUP(AH225,'Hess and Brezowsky'!$B$2:$G$31,3,FALSE)</f>
        <v>M</v>
      </c>
      <c r="AK225" s="13" t="str">
        <f>VLOOKUP(AH225,'Hess and Brezowsky'!$B$2:$G$31,4,FALSE)</f>
        <v>Trough over Central Europe</v>
      </c>
      <c r="AL225" s="29">
        <v>0.31747685185185187</v>
      </c>
      <c r="AM225" s="29">
        <v>0.50157407407407406</v>
      </c>
      <c r="AN225" s="30">
        <v>0.68567129629629631</v>
      </c>
    </row>
    <row r="226" spans="1:40" ht="15.75" customHeight="1" x14ac:dyDescent="0.2">
      <c r="A226" s="27">
        <v>44946</v>
      </c>
      <c r="B226" s="13">
        <v>2023</v>
      </c>
      <c r="C226" s="13">
        <v>20</v>
      </c>
      <c r="D226" s="13">
        <f t="shared" si="8"/>
        <v>6</v>
      </c>
      <c r="E226" s="13"/>
      <c r="F226" s="13">
        <f t="shared" si="7"/>
        <v>2</v>
      </c>
      <c r="G226" s="14">
        <v>0</v>
      </c>
      <c r="H226" s="14">
        <v>0</v>
      </c>
      <c r="I226" s="14">
        <v>0.95</v>
      </c>
      <c r="J226" s="14">
        <v>0</v>
      </c>
      <c r="K226" s="14">
        <v>0</v>
      </c>
      <c r="L226" s="14">
        <v>1</v>
      </c>
      <c r="M226" s="15">
        <v>300.15699999999998</v>
      </c>
      <c r="N226" s="16" t="str">
        <f t="shared" si="9"/>
        <v>NW</v>
      </c>
      <c r="O226" s="17">
        <v>7.6</v>
      </c>
      <c r="P226" s="16" t="s">
        <v>137</v>
      </c>
      <c r="Q226" s="18">
        <v>0</v>
      </c>
      <c r="R226" s="19">
        <v>3.3</v>
      </c>
      <c r="S226" s="19">
        <v>-0.1</v>
      </c>
      <c r="T226" s="19">
        <v>6.4</v>
      </c>
      <c r="U226" s="20">
        <v>295.94</v>
      </c>
      <c r="V226" s="16" t="s">
        <v>6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1">
        <v>0</v>
      </c>
      <c r="AC226" s="21">
        <v>0.42</v>
      </c>
      <c r="AD226" s="21">
        <v>0.57999999999999996</v>
      </c>
      <c r="AE226" s="21">
        <v>8.8800000000000008</v>
      </c>
      <c r="AF226" s="21">
        <v>8.59</v>
      </c>
      <c r="AG226" s="21">
        <v>15.2</v>
      </c>
      <c r="AH226" s="18" t="s">
        <v>30</v>
      </c>
      <c r="AI226" s="13" t="str">
        <f>VLOOKUP(AH226,'Hess and Brezowsky'!$B$2:$G$31,2,FALSE)</f>
        <v>Meridional</v>
      </c>
      <c r="AJ226" s="18" t="str">
        <f>VLOOKUP(AH226,'Hess and Brezowsky'!$B$2:$G$31,3,FALSE)</f>
        <v>M</v>
      </c>
      <c r="AK226" s="13" t="str">
        <f>VLOOKUP(AH226,'Hess and Brezowsky'!$B$2:$G$31,4,FALSE)</f>
        <v>Trough over Central Europe</v>
      </c>
      <c r="AL226" s="29">
        <v>0.31687500000000002</v>
      </c>
      <c r="AM226" s="29">
        <v>0.50179398148148147</v>
      </c>
      <c r="AN226" s="30">
        <v>0.68671296296296291</v>
      </c>
    </row>
    <row r="227" spans="1:40" ht="15.75" customHeight="1" x14ac:dyDescent="0.2">
      <c r="A227" s="27">
        <v>44947</v>
      </c>
      <c r="B227" s="13">
        <v>2023</v>
      </c>
      <c r="C227" s="13">
        <v>21</v>
      </c>
      <c r="D227" s="13">
        <f t="shared" si="8"/>
        <v>7</v>
      </c>
      <c r="E227" s="13"/>
      <c r="F227" s="13">
        <f t="shared" si="7"/>
        <v>2</v>
      </c>
      <c r="G227" s="14">
        <v>0</v>
      </c>
      <c r="H227" s="14">
        <v>0</v>
      </c>
      <c r="I227" s="14">
        <v>0.95</v>
      </c>
      <c r="J227" s="14">
        <v>0</v>
      </c>
      <c r="K227" s="14">
        <v>0</v>
      </c>
      <c r="L227" s="14">
        <v>1</v>
      </c>
      <c r="M227" s="15">
        <v>21.869</v>
      </c>
      <c r="N227" s="16" t="str">
        <f t="shared" si="9"/>
        <v>N</v>
      </c>
      <c r="O227" s="17">
        <v>8.1999999999999993</v>
      </c>
      <c r="P227" s="16" t="s">
        <v>137</v>
      </c>
      <c r="Q227" s="18">
        <v>0.2</v>
      </c>
      <c r="R227" s="19">
        <v>2.13</v>
      </c>
      <c r="S227" s="19">
        <v>-0.1</v>
      </c>
      <c r="T227" s="19">
        <v>4.7</v>
      </c>
      <c r="U227" s="20">
        <v>16.57</v>
      </c>
      <c r="V227" s="16" t="s">
        <v>7</v>
      </c>
      <c r="W227" s="21">
        <v>0.67</v>
      </c>
      <c r="X227" s="21">
        <v>0.33</v>
      </c>
      <c r="Y227" s="21">
        <v>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8.94</v>
      </c>
      <c r="AF227" s="21">
        <v>8.76</v>
      </c>
      <c r="AG227" s="21">
        <v>12.4</v>
      </c>
      <c r="AH227" s="18" t="s">
        <v>24</v>
      </c>
      <c r="AI227" s="13" t="str">
        <f>VLOOKUP(AH227,'Hess and Brezowsky'!$B$2:$G$31,2,FALSE)</f>
        <v>Meridional</v>
      </c>
      <c r="AJ227" s="18" t="str">
        <f>VLOOKUP(AH227,'Hess and Brezowsky'!$B$2:$G$31,3,FALSE)</f>
        <v>A</v>
      </c>
      <c r="AK227" s="13" t="str">
        <f>VLOOKUP(AH227,'Hess and Brezowsky'!$B$2:$G$31,4,FALSE)</f>
        <v>Anticyclonic North-Easterly</v>
      </c>
      <c r="AL227" s="29">
        <v>0.31622685185185184</v>
      </c>
      <c r="AM227" s="29">
        <v>0.50200231481481483</v>
      </c>
      <c r="AN227" s="30">
        <v>0.68776620370370367</v>
      </c>
    </row>
    <row r="228" spans="1:40" ht="15.75" customHeight="1" x14ac:dyDescent="0.2">
      <c r="A228" s="27">
        <v>44948</v>
      </c>
      <c r="B228" s="13">
        <v>2023</v>
      </c>
      <c r="C228" s="13">
        <v>22</v>
      </c>
      <c r="D228" s="13">
        <f t="shared" si="8"/>
        <v>1</v>
      </c>
      <c r="E228" s="13"/>
      <c r="F228" s="13">
        <f t="shared" si="7"/>
        <v>2</v>
      </c>
      <c r="G228" s="14">
        <v>0</v>
      </c>
      <c r="H228" s="14">
        <v>0</v>
      </c>
      <c r="I228" s="14">
        <v>1</v>
      </c>
      <c r="J228" s="14">
        <v>0</v>
      </c>
      <c r="K228" s="14">
        <v>0</v>
      </c>
      <c r="L228" s="14">
        <v>1</v>
      </c>
      <c r="M228" s="15">
        <v>18.812999999999999</v>
      </c>
      <c r="N228" s="16" t="str">
        <f t="shared" si="9"/>
        <v>N</v>
      </c>
      <c r="O228" s="17">
        <v>6.9</v>
      </c>
      <c r="P228" s="16" t="s">
        <v>140</v>
      </c>
      <c r="Q228" s="18">
        <v>0</v>
      </c>
      <c r="R228" s="19">
        <v>1.07</v>
      </c>
      <c r="S228" s="19">
        <v>-0.2</v>
      </c>
      <c r="T228" s="19">
        <v>2.5</v>
      </c>
      <c r="U228" s="20">
        <v>15.86</v>
      </c>
      <c r="V228" s="16" t="s">
        <v>7</v>
      </c>
      <c r="W228" s="21">
        <v>0.57999999999999996</v>
      </c>
      <c r="X228" s="21">
        <v>0.42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0</v>
      </c>
      <c r="AE228" s="21">
        <v>7.26</v>
      </c>
      <c r="AF228" s="21">
        <v>7.15</v>
      </c>
      <c r="AG228" s="21">
        <v>10.6</v>
      </c>
      <c r="AH228" s="18" t="s">
        <v>24</v>
      </c>
      <c r="AI228" s="13" t="str">
        <f>VLOOKUP(AH228,'Hess and Brezowsky'!$B$2:$G$31,2,FALSE)</f>
        <v>Meridional</v>
      </c>
      <c r="AJ228" s="18" t="str">
        <f>VLOOKUP(AH228,'Hess and Brezowsky'!$B$2:$G$31,3,FALSE)</f>
        <v>A</v>
      </c>
      <c r="AK228" s="13" t="str">
        <f>VLOOKUP(AH228,'Hess and Brezowsky'!$B$2:$G$31,4,FALSE)</f>
        <v>Anticyclonic North-Easterly</v>
      </c>
      <c r="AL228" s="29">
        <v>0.31556712962962963</v>
      </c>
      <c r="AM228" s="29">
        <v>0.50219907407407405</v>
      </c>
      <c r="AN228" s="30">
        <v>0.68884259259259262</v>
      </c>
    </row>
    <row r="229" spans="1:40" ht="15.75" customHeight="1" x14ac:dyDescent="0.2">
      <c r="A229" s="27">
        <v>44949</v>
      </c>
      <c r="B229" s="13">
        <v>2023</v>
      </c>
      <c r="C229" s="13">
        <v>23</v>
      </c>
      <c r="D229" s="13">
        <f t="shared" si="8"/>
        <v>2</v>
      </c>
      <c r="E229" s="13"/>
      <c r="F229" s="13">
        <f t="shared" si="7"/>
        <v>2</v>
      </c>
      <c r="G229" s="14">
        <v>0</v>
      </c>
      <c r="H229" s="14">
        <v>0</v>
      </c>
      <c r="I229" s="14">
        <v>1</v>
      </c>
      <c r="J229" s="14">
        <v>0</v>
      </c>
      <c r="K229" s="14">
        <v>0</v>
      </c>
      <c r="L229" s="14">
        <v>1</v>
      </c>
      <c r="M229" s="15">
        <v>39.183999999999997</v>
      </c>
      <c r="N229" s="16" t="str">
        <f t="shared" si="9"/>
        <v>NE</v>
      </c>
      <c r="O229" s="17">
        <v>7.5</v>
      </c>
      <c r="P229" s="16" t="s">
        <v>140</v>
      </c>
      <c r="Q229" s="18">
        <v>0</v>
      </c>
      <c r="R229" s="19">
        <v>2.33</v>
      </c>
      <c r="S229" s="19">
        <v>1.3</v>
      </c>
      <c r="T229" s="19">
        <v>3.3</v>
      </c>
      <c r="U229" s="20">
        <v>34.51</v>
      </c>
      <c r="V229" s="16" t="s">
        <v>10</v>
      </c>
      <c r="W229" s="21">
        <v>0</v>
      </c>
      <c r="X229" s="21">
        <v>1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7.57</v>
      </c>
      <c r="AF229" s="21">
        <v>7.55</v>
      </c>
      <c r="AG229" s="21">
        <v>10.4</v>
      </c>
      <c r="AH229" s="18" t="s">
        <v>24</v>
      </c>
      <c r="AI229" s="13" t="str">
        <f>VLOOKUP(AH229,'Hess and Brezowsky'!$B$2:$G$31,2,FALSE)</f>
        <v>Meridional</v>
      </c>
      <c r="AJ229" s="18" t="str">
        <f>VLOOKUP(AH229,'Hess and Brezowsky'!$B$2:$G$31,3,FALSE)</f>
        <v>A</v>
      </c>
      <c r="AK229" s="13" t="str">
        <f>VLOOKUP(AH229,'Hess and Brezowsky'!$B$2:$G$31,4,FALSE)</f>
        <v>Anticyclonic North-Easterly</v>
      </c>
      <c r="AL229" s="29">
        <v>0.31487268518518519</v>
      </c>
      <c r="AM229" s="29">
        <v>0.50239583333333337</v>
      </c>
      <c r="AN229" s="30">
        <v>0.68991898148148145</v>
      </c>
    </row>
    <row r="230" spans="1:40" ht="15.75" customHeight="1" x14ac:dyDescent="0.2">
      <c r="A230" s="27">
        <v>44950</v>
      </c>
      <c r="B230" s="13">
        <v>2023</v>
      </c>
      <c r="C230" s="13">
        <v>24</v>
      </c>
      <c r="D230" s="13">
        <f t="shared" si="8"/>
        <v>3</v>
      </c>
      <c r="E230" s="13"/>
      <c r="F230" s="13">
        <f t="shared" si="7"/>
        <v>2</v>
      </c>
      <c r="G230" s="14">
        <v>0</v>
      </c>
      <c r="H230" s="14">
        <v>0</v>
      </c>
      <c r="I230" s="14">
        <v>1</v>
      </c>
      <c r="J230" s="14">
        <v>0</v>
      </c>
      <c r="K230" s="14">
        <v>0</v>
      </c>
      <c r="L230" s="14">
        <v>1</v>
      </c>
      <c r="M230" s="15">
        <v>37.35</v>
      </c>
      <c r="N230" s="16" t="str">
        <f t="shared" si="9"/>
        <v>NE</v>
      </c>
      <c r="O230" s="17">
        <v>6.1</v>
      </c>
      <c r="P230" s="16" t="s">
        <v>140</v>
      </c>
      <c r="Q230" s="18">
        <v>0</v>
      </c>
      <c r="R230" s="19">
        <v>2.63</v>
      </c>
      <c r="S230" s="19">
        <v>1.5</v>
      </c>
      <c r="T230" s="19">
        <v>3.4</v>
      </c>
      <c r="U230" s="20">
        <v>37.14</v>
      </c>
      <c r="V230" s="16" t="s">
        <v>10</v>
      </c>
      <c r="W230" s="21">
        <v>0</v>
      </c>
      <c r="X230" s="21">
        <v>1</v>
      </c>
      <c r="Y230" s="21">
        <v>0</v>
      </c>
      <c r="Z230" s="21">
        <v>0</v>
      </c>
      <c r="AA230" s="21">
        <v>0</v>
      </c>
      <c r="AB230" s="21">
        <v>0</v>
      </c>
      <c r="AC230" s="21">
        <v>0</v>
      </c>
      <c r="AD230" s="21">
        <v>0</v>
      </c>
      <c r="AE230" s="21">
        <v>6.01</v>
      </c>
      <c r="AF230" s="21">
        <v>5.96</v>
      </c>
      <c r="AG230" s="21">
        <v>9.4</v>
      </c>
      <c r="AH230" s="18" t="s">
        <v>4</v>
      </c>
      <c r="AI230" s="13" t="str">
        <f>VLOOKUP(AH230,'Hess and Brezowsky'!$B$2:$G$31,2,FALSE)</f>
        <v>Mixed</v>
      </c>
      <c r="AJ230" s="18" t="str">
        <f>VLOOKUP(AH230,'Hess and Brezowsky'!$B$2:$G$31,3,FALSE)</f>
        <v>A</v>
      </c>
      <c r="AK230" s="13" t="str">
        <f>VLOOKUP(AH230,'Hess and Brezowsky'!$B$2:$G$31,4,FALSE)</f>
        <v>Zonal Ridge across Central Europe</v>
      </c>
      <c r="AL230" s="29">
        <v>0.31414351851851852</v>
      </c>
      <c r="AM230" s="29">
        <v>0.5025694444444444</v>
      </c>
      <c r="AN230" s="30">
        <v>0.69100694444444444</v>
      </c>
    </row>
    <row r="231" spans="1:40" ht="15.75" customHeight="1" x14ac:dyDescent="0.2">
      <c r="A231" s="27">
        <v>44951</v>
      </c>
      <c r="B231" s="13">
        <v>2023</v>
      </c>
      <c r="C231" s="13">
        <v>25</v>
      </c>
      <c r="D231" s="13">
        <f t="shared" si="8"/>
        <v>4</v>
      </c>
      <c r="E231" s="13"/>
      <c r="F231" s="13">
        <f t="shared" si="7"/>
        <v>2</v>
      </c>
      <c r="G231" s="14">
        <v>0</v>
      </c>
      <c r="H231" s="14">
        <v>0</v>
      </c>
      <c r="I231" s="14">
        <v>1</v>
      </c>
      <c r="J231" s="14">
        <v>0</v>
      </c>
      <c r="K231" s="14">
        <v>0</v>
      </c>
      <c r="L231" s="14">
        <v>1</v>
      </c>
      <c r="M231" s="15">
        <v>6.65</v>
      </c>
      <c r="N231" s="16" t="str">
        <f t="shared" si="9"/>
        <v>N</v>
      </c>
      <c r="O231" s="17">
        <v>3.9</v>
      </c>
      <c r="P231" s="16" t="s">
        <v>140</v>
      </c>
      <c r="Q231" s="18">
        <v>0</v>
      </c>
      <c r="R231" s="19">
        <v>1.1000000000000001</v>
      </c>
      <c r="S231" s="19">
        <v>-0.4</v>
      </c>
      <c r="T231" s="19">
        <v>2.9</v>
      </c>
      <c r="U231" s="20">
        <v>359.75</v>
      </c>
      <c r="V231" s="16" t="s">
        <v>7</v>
      </c>
      <c r="W231" s="21">
        <v>0.38</v>
      </c>
      <c r="X231" s="21">
        <v>0.33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0.28999999999999998</v>
      </c>
      <c r="AE231" s="21">
        <v>3.9</v>
      </c>
      <c r="AF231" s="21">
        <v>3.37</v>
      </c>
      <c r="AG231" s="21">
        <v>7</v>
      </c>
      <c r="AH231" s="18" t="s">
        <v>4</v>
      </c>
      <c r="AI231" s="13" t="str">
        <f>VLOOKUP(AH231,'Hess and Brezowsky'!$B$2:$G$31,2,FALSE)</f>
        <v>Mixed</v>
      </c>
      <c r="AJ231" s="18" t="str">
        <f>VLOOKUP(AH231,'Hess and Brezowsky'!$B$2:$G$31,3,FALSE)</f>
        <v>A</v>
      </c>
      <c r="AK231" s="13" t="str">
        <f>VLOOKUP(AH231,'Hess and Brezowsky'!$B$2:$G$31,4,FALSE)</f>
        <v>Zonal Ridge across Central Europe</v>
      </c>
      <c r="AL231" s="29">
        <v>0.31340277777777775</v>
      </c>
      <c r="AM231" s="29">
        <v>0.50274305555555554</v>
      </c>
      <c r="AN231" s="30">
        <v>0.69209490740740742</v>
      </c>
    </row>
    <row r="232" spans="1:40" ht="15.75" customHeight="1" x14ac:dyDescent="0.2">
      <c r="A232" s="27">
        <v>44952</v>
      </c>
      <c r="B232" s="13">
        <v>2023</v>
      </c>
      <c r="C232" s="13">
        <v>26</v>
      </c>
      <c r="D232" s="13">
        <f t="shared" si="8"/>
        <v>5</v>
      </c>
      <c r="E232" s="13"/>
      <c r="F232" s="13">
        <f t="shared" si="7"/>
        <v>2</v>
      </c>
      <c r="G232" s="14">
        <v>0</v>
      </c>
      <c r="H232" s="14">
        <v>0</v>
      </c>
      <c r="I232" s="14">
        <v>0.87</v>
      </c>
      <c r="J232" s="14">
        <v>0</v>
      </c>
      <c r="K232" s="14">
        <v>0</v>
      </c>
      <c r="L232" s="14">
        <v>1</v>
      </c>
      <c r="M232" s="15">
        <v>16.850000000000001</v>
      </c>
      <c r="N232" s="16" t="str">
        <f t="shared" si="9"/>
        <v>N</v>
      </c>
      <c r="O232" s="17">
        <v>5</v>
      </c>
      <c r="P232" s="16" t="s">
        <v>140</v>
      </c>
      <c r="Q232" s="18">
        <v>0.6</v>
      </c>
      <c r="R232" s="19">
        <v>2.96</v>
      </c>
      <c r="S232" s="19">
        <v>0.5</v>
      </c>
      <c r="T232" s="19">
        <v>5.5</v>
      </c>
      <c r="U232" s="20">
        <v>12.55</v>
      </c>
      <c r="V232" s="16" t="s">
        <v>7</v>
      </c>
      <c r="W232" s="21">
        <v>0.71</v>
      </c>
      <c r="X232" s="21">
        <v>0.08</v>
      </c>
      <c r="Y232" s="21">
        <v>0</v>
      </c>
      <c r="Z232" s="21">
        <v>0</v>
      </c>
      <c r="AA232" s="21">
        <v>0</v>
      </c>
      <c r="AB232" s="21">
        <v>0.08</v>
      </c>
      <c r="AC232" s="21">
        <v>0</v>
      </c>
      <c r="AD232" s="21">
        <v>0.12</v>
      </c>
      <c r="AE232" s="21">
        <v>5.69</v>
      </c>
      <c r="AF232" s="21">
        <v>5.52</v>
      </c>
      <c r="AG232" s="21">
        <v>13.7</v>
      </c>
      <c r="AH232" s="18" t="s">
        <v>4</v>
      </c>
      <c r="AI232" s="13" t="str">
        <f>VLOOKUP(AH232,'Hess and Brezowsky'!$B$2:$G$31,2,FALSE)</f>
        <v>Mixed</v>
      </c>
      <c r="AJ232" s="18" t="str">
        <f>VLOOKUP(AH232,'Hess and Brezowsky'!$B$2:$G$31,3,FALSE)</f>
        <v>A</v>
      </c>
      <c r="AK232" s="13" t="str">
        <f>VLOOKUP(AH232,'Hess and Brezowsky'!$B$2:$G$31,4,FALSE)</f>
        <v>Zonal Ridge across Central Europe</v>
      </c>
      <c r="AL232" s="29">
        <v>0.31262731481481482</v>
      </c>
      <c r="AM232" s="29">
        <v>0.50291666666666668</v>
      </c>
      <c r="AN232" s="30">
        <v>0.69320601851851849</v>
      </c>
    </row>
    <row r="233" spans="1:40" ht="15.75" customHeight="1" x14ac:dyDescent="0.2">
      <c r="A233" s="27">
        <v>44953</v>
      </c>
      <c r="B233" s="13">
        <v>2023</v>
      </c>
      <c r="C233" s="13">
        <v>27</v>
      </c>
      <c r="D233" s="13">
        <f t="shared" si="8"/>
        <v>6</v>
      </c>
      <c r="E233" s="13"/>
      <c r="F233" s="13">
        <f t="shared" si="7"/>
        <v>2</v>
      </c>
      <c r="G233" s="14">
        <v>0</v>
      </c>
      <c r="H233" s="14">
        <v>0</v>
      </c>
      <c r="I233" s="14">
        <v>1</v>
      </c>
      <c r="J233" s="14">
        <v>0</v>
      </c>
      <c r="K233" s="14">
        <v>0</v>
      </c>
      <c r="L233" s="14">
        <v>1</v>
      </c>
      <c r="M233" s="15">
        <v>26.181999999999999</v>
      </c>
      <c r="N233" s="16" t="str">
        <f t="shared" si="9"/>
        <v>NE</v>
      </c>
      <c r="O233" s="17">
        <v>8.6</v>
      </c>
      <c r="P233" s="16" t="s">
        <v>140</v>
      </c>
      <c r="Q233" s="18">
        <v>0</v>
      </c>
      <c r="R233" s="19">
        <v>4.87</v>
      </c>
      <c r="S233" s="19">
        <v>4</v>
      </c>
      <c r="T233" s="19">
        <v>5.4</v>
      </c>
      <c r="U233" s="20">
        <v>19.7</v>
      </c>
      <c r="V233" s="16" t="s">
        <v>7</v>
      </c>
      <c r="W233" s="21">
        <v>0.62</v>
      </c>
      <c r="X233" s="21">
        <v>0.38</v>
      </c>
      <c r="Y233" s="21">
        <v>0</v>
      </c>
      <c r="Z233" s="21">
        <v>0</v>
      </c>
      <c r="AA233" s="21">
        <v>0</v>
      </c>
      <c r="AB233" s="21">
        <v>0</v>
      </c>
      <c r="AC233" s="21">
        <v>0</v>
      </c>
      <c r="AD233" s="21">
        <v>0</v>
      </c>
      <c r="AE233" s="21">
        <v>9.36</v>
      </c>
      <c r="AF233" s="21">
        <v>9.2899999999999991</v>
      </c>
      <c r="AG233" s="21">
        <v>11.7</v>
      </c>
      <c r="AH233" s="18" t="s">
        <v>12</v>
      </c>
      <c r="AI233" s="13" t="str">
        <f>VLOOKUP(AH233,'Hess and Brezowsky'!$B$2:$G$31,2,FALSE)</f>
        <v>Undefined</v>
      </c>
      <c r="AJ233" s="18" t="str">
        <f>VLOOKUP(AH233,'Hess and Brezowsky'!$B$2:$G$31,3,FALSE)</f>
        <v>M</v>
      </c>
      <c r="AK233" s="13" t="str">
        <f>VLOOKUP(AH233,'Hess and Brezowsky'!$B$2:$G$31,4,FALSE)</f>
        <v>Transistion / Undefined</v>
      </c>
      <c r="AL233" s="29">
        <v>0.31182870370370369</v>
      </c>
      <c r="AM233" s="29">
        <v>0.50306712962962963</v>
      </c>
      <c r="AN233" s="30">
        <v>0.69431712962962966</v>
      </c>
    </row>
    <row r="234" spans="1:40" ht="15.75" customHeight="1" x14ac:dyDescent="0.2">
      <c r="A234" s="27">
        <v>44954</v>
      </c>
      <c r="B234" s="13">
        <v>2023</v>
      </c>
      <c r="C234" s="13">
        <v>28</v>
      </c>
      <c r="D234" s="13">
        <f t="shared" si="8"/>
        <v>7</v>
      </c>
      <c r="E234" s="13"/>
      <c r="F234" s="13">
        <f t="shared" si="7"/>
        <v>1</v>
      </c>
      <c r="G234" s="14">
        <v>0</v>
      </c>
      <c r="H234" s="14">
        <v>0</v>
      </c>
      <c r="I234" s="14">
        <v>0.25</v>
      </c>
      <c r="J234" s="14">
        <v>0</v>
      </c>
      <c r="K234" s="14">
        <v>0</v>
      </c>
      <c r="L234" s="14">
        <v>1</v>
      </c>
      <c r="M234" s="15">
        <v>28.763999999999999</v>
      </c>
      <c r="N234" s="16" t="str">
        <f t="shared" si="9"/>
        <v>NE</v>
      </c>
      <c r="O234" s="17">
        <v>6.8</v>
      </c>
      <c r="P234" s="16" t="s">
        <v>140</v>
      </c>
      <c r="Q234" s="18">
        <v>0</v>
      </c>
      <c r="R234" s="19">
        <v>3.19</v>
      </c>
      <c r="S234" s="19">
        <v>1.2</v>
      </c>
      <c r="T234" s="19">
        <v>4.0999999999999996</v>
      </c>
      <c r="U234" s="20">
        <v>22.6</v>
      </c>
      <c r="V234" s="16" t="s">
        <v>10</v>
      </c>
      <c r="W234" s="21">
        <v>0.5</v>
      </c>
      <c r="X234" s="21">
        <v>0.5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7.32</v>
      </c>
      <c r="AF234" s="21">
        <v>7.19</v>
      </c>
      <c r="AG234" s="21">
        <v>11.9</v>
      </c>
      <c r="AH234" s="18" t="s">
        <v>12</v>
      </c>
      <c r="AI234" s="13" t="str">
        <f>VLOOKUP(AH234,'Hess and Brezowsky'!$B$2:$G$31,2,FALSE)</f>
        <v>Undefined</v>
      </c>
      <c r="AJ234" s="18" t="str">
        <f>VLOOKUP(AH234,'Hess and Brezowsky'!$B$2:$G$31,3,FALSE)</f>
        <v>M</v>
      </c>
      <c r="AK234" s="13" t="str">
        <f>VLOOKUP(AH234,'Hess and Brezowsky'!$B$2:$G$31,4,FALSE)</f>
        <v>Transistion / Undefined</v>
      </c>
      <c r="AL234" s="29">
        <v>0.31099537037037039</v>
      </c>
      <c r="AM234" s="29">
        <v>0.50321759259259258</v>
      </c>
      <c r="AN234" s="30">
        <v>0.69543981481481476</v>
      </c>
    </row>
    <row r="235" spans="1:40" ht="15.75" customHeight="1" x14ac:dyDescent="0.2">
      <c r="A235" s="27">
        <v>44955</v>
      </c>
      <c r="B235" s="13">
        <v>2023</v>
      </c>
      <c r="C235" s="13">
        <v>29</v>
      </c>
      <c r="D235" s="13">
        <f t="shared" si="8"/>
        <v>1</v>
      </c>
      <c r="E235" s="13"/>
      <c r="F235" s="13">
        <f t="shared" si="7"/>
        <v>1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1</v>
      </c>
      <c r="M235" s="15">
        <v>279.86200000000002</v>
      </c>
      <c r="N235" s="16" t="str">
        <f t="shared" si="9"/>
        <v>W</v>
      </c>
      <c r="O235" s="17">
        <v>3.9</v>
      </c>
      <c r="P235" s="16" t="s">
        <v>137</v>
      </c>
      <c r="Q235" s="18">
        <v>0</v>
      </c>
      <c r="R235" s="19">
        <v>2.4900000000000002</v>
      </c>
      <c r="S235" s="19">
        <v>-0.8</v>
      </c>
      <c r="T235" s="19">
        <v>4.9000000000000004</v>
      </c>
      <c r="U235" s="20">
        <v>279.60000000000002</v>
      </c>
      <c r="V235" s="16" t="s">
        <v>16</v>
      </c>
      <c r="W235" s="21">
        <v>0.28999999999999998</v>
      </c>
      <c r="X235" s="21">
        <v>0.04</v>
      </c>
      <c r="Y235" s="21">
        <v>0</v>
      </c>
      <c r="Z235" s="21">
        <v>0</v>
      </c>
      <c r="AA235" s="21">
        <v>0</v>
      </c>
      <c r="AB235" s="21">
        <v>0.28999999999999998</v>
      </c>
      <c r="AC235" s="21">
        <v>0.25</v>
      </c>
      <c r="AD235" s="21">
        <v>0.12</v>
      </c>
      <c r="AE235" s="21">
        <v>3.31</v>
      </c>
      <c r="AF235" s="21">
        <v>2.02</v>
      </c>
      <c r="AG235" s="21">
        <v>9.5</v>
      </c>
      <c r="AH235" s="18" t="s">
        <v>29</v>
      </c>
      <c r="AI235" s="13" t="str">
        <f>VLOOKUP(AH235,'Hess and Brezowsky'!$B$2:$G$31,2,FALSE)</f>
        <v>Mixed</v>
      </c>
      <c r="AJ235" s="18" t="str">
        <f>VLOOKUP(AH235,'Hess and Brezowsky'!$B$2:$G$31,3,FALSE)</f>
        <v>C</v>
      </c>
      <c r="AK235" s="13" t="str">
        <f>VLOOKUP(AH235,'Hess and Brezowsky'!$B$2:$G$31,4,FALSE)</f>
        <v>Cyclonic North-Westerly</v>
      </c>
      <c r="AL235" s="29">
        <v>0.31015046296296295</v>
      </c>
      <c r="AM235" s="29">
        <v>0.50335648148148149</v>
      </c>
      <c r="AN235" s="30">
        <v>0.69656249999999997</v>
      </c>
    </row>
    <row r="236" spans="1:40" ht="15.75" customHeight="1" x14ac:dyDescent="0.2">
      <c r="A236" s="27">
        <v>44956</v>
      </c>
      <c r="B236" s="13">
        <v>2023</v>
      </c>
      <c r="C236" s="13">
        <v>30</v>
      </c>
      <c r="D236" s="13">
        <f t="shared" si="8"/>
        <v>2</v>
      </c>
      <c r="E236" s="13"/>
      <c r="F236" s="13">
        <f t="shared" si="7"/>
        <v>1</v>
      </c>
      <c r="G236" s="14">
        <v>0</v>
      </c>
      <c r="H236" s="14">
        <v>0</v>
      </c>
      <c r="I236" s="14">
        <v>0.28999999999999998</v>
      </c>
      <c r="J236" s="14">
        <v>0</v>
      </c>
      <c r="K236" s="14">
        <v>0</v>
      </c>
      <c r="L236" s="14">
        <v>1</v>
      </c>
      <c r="M236" s="15">
        <v>271.464</v>
      </c>
      <c r="N236" s="16" t="str">
        <f t="shared" si="9"/>
        <v>W</v>
      </c>
      <c r="O236" s="17">
        <v>7.2</v>
      </c>
      <c r="P236" s="16" t="s">
        <v>137</v>
      </c>
      <c r="Q236" s="18">
        <v>0.2</v>
      </c>
      <c r="R236" s="19">
        <v>6.13</v>
      </c>
      <c r="S236" s="19">
        <v>3.9</v>
      </c>
      <c r="T236" s="19">
        <v>9.4</v>
      </c>
      <c r="U236" s="20">
        <v>278.56</v>
      </c>
      <c r="V236" s="16" t="s">
        <v>16</v>
      </c>
      <c r="W236" s="21">
        <v>0.04</v>
      </c>
      <c r="X236" s="21">
        <v>0</v>
      </c>
      <c r="Y236" s="21">
        <v>0</v>
      </c>
      <c r="Z236" s="21">
        <v>0</v>
      </c>
      <c r="AA236" s="21">
        <v>0</v>
      </c>
      <c r="AB236" s="21">
        <v>0</v>
      </c>
      <c r="AC236" s="21">
        <v>0.62</v>
      </c>
      <c r="AD236" s="21">
        <v>0.33</v>
      </c>
      <c r="AE236" s="21">
        <v>8.61</v>
      </c>
      <c r="AF236" s="21">
        <v>7.63</v>
      </c>
      <c r="AG236" s="21">
        <v>12.9</v>
      </c>
      <c r="AH236" s="18" t="s">
        <v>29</v>
      </c>
      <c r="AI236" s="13" t="str">
        <f>VLOOKUP(AH236,'Hess and Brezowsky'!$B$2:$G$31,2,FALSE)</f>
        <v>Mixed</v>
      </c>
      <c r="AJ236" s="18" t="str">
        <f>VLOOKUP(AH236,'Hess and Brezowsky'!$B$2:$G$31,3,FALSE)</f>
        <v>C</v>
      </c>
      <c r="AK236" s="13" t="str">
        <f>VLOOKUP(AH236,'Hess and Brezowsky'!$B$2:$G$31,4,FALSE)</f>
        <v>Cyclonic North-Westerly</v>
      </c>
      <c r="AL236" s="29">
        <v>0.30927083333333333</v>
      </c>
      <c r="AM236" s="29">
        <v>0.50348379629629625</v>
      </c>
      <c r="AN236" s="30">
        <v>0.69769675925925922</v>
      </c>
    </row>
    <row r="237" spans="1:40" ht="15.75" customHeight="1" x14ac:dyDescent="0.2">
      <c r="A237" s="27">
        <v>44957</v>
      </c>
      <c r="B237" s="13">
        <v>2023</v>
      </c>
      <c r="C237" s="13">
        <v>31</v>
      </c>
      <c r="D237" s="13">
        <f t="shared" si="8"/>
        <v>3</v>
      </c>
      <c r="E237" s="13"/>
      <c r="F237" s="13">
        <f t="shared" si="7"/>
        <v>2</v>
      </c>
      <c r="G237" s="14">
        <v>0</v>
      </c>
      <c r="H237" s="14">
        <v>0</v>
      </c>
      <c r="I237" s="14">
        <v>0.95</v>
      </c>
      <c r="J237" s="14">
        <v>0</v>
      </c>
      <c r="K237" s="14">
        <v>0</v>
      </c>
      <c r="L237" s="14">
        <v>1</v>
      </c>
      <c r="M237" s="15">
        <v>266.12299999999999</v>
      </c>
      <c r="N237" s="16" t="str">
        <f t="shared" si="9"/>
        <v>W</v>
      </c>
      <c r="O237" s="17">
        <v>7.1</v>
      </c>
      <c r="P237" s="16" t="s">
        <v>137</v>
      </c>
      <c r="Q237" s="18">
        <v>0.2</v>
      </c>
      <c r="R237" s="19">
        <v>5.89</v>
      </c>
      <c r="S237" s="19">
        <v>1.8</v>
      </c>
      <c r="T237" s="19">
        <v>9.4</v>
      </c>
      <c r="U237" s="20">
        <v>266.41000000000003</v>
      </c>
      <c r="V237" s="16" t="s">
        <v>16</v>
      </c>
      <c r="W237" s="21">
        <v>0</v>
      </c>
      <c r="X237" s="21">
        <v>0</v>
      </c>
      <c r="Y237" s="21">
        <v>0</v>
      </c>
      <c r="Z237" s="21">
        <v>0</v>
      </c>
      <c r="AA237" s="21">
        <v>0</v>
      </c>
      <c r="AB237" s="21">
        <v>0</v>
      </c>
      <c r="AC237" s="21">
        <v>0.96</v>
      </c>
      <c r="AD237" s="21">
        <v>0.04</v>
      </c>
      <c r="AE237" s="21">
        <v>8.4700000000000006</v>
      </c>
      <c r="AF237" s="21">
        <v>8.33</v>
      </c>
      <c r="AG237" s="21">
        <v>12.6</v>
      </c>
      <c r="AH237" s="18" t="s">
        <v>29</v>
      </c>
      <c r="AI237" s="13" t="str">
        <f>VLOOKUP(AH237,'Hess and Brezowsky'!$B$2:$G$31,2,FALSE)</f>
        <v>Mixed</v>
      </c>
      <c r="AJ237" s="18" t="str">
        <f>VLOOKUP(AH237,'Hess and Brezowsky'!$B$2:$G$31,3,FALSE)</f>
        <v>C</v>
      </c>
      <c r="AK237" s="13" t="str">
        <f>VLOOKUP(AH237,'Hess and Brezowsky'!$B$2:$G$31,4,FALSE)</f>
        <v>Cyclonic North-Westerly</v>
      </c>
      <c r="AL237" s="29">
        <v>0.30837962962962961</v>
      </c>
      <c r="AM237" s="29">
        <v>0.50361111111111112</v>
      </c>
      <c r="AN237" s="30">
        <v>0.69883101851851848</v>
      </c>
    </row>
    <row r="238" spans="1:40" ht="15.75" customHeight="1" x14ac:dyDescent="0.2">
      <c r="A238" s="27">
        <v>44958</v>
      </c>
      <c r="B238" s="13">
        <v>2023</v>
      </c>
      <c r="C238" s="13">
        <v>32</v>
      </c>
      <c r="D238" s="13">
        <f t="shared" si="8"/>
        <v>4</v>
      </c>
      <c r="E238" s="13"/>
      <c r="F238" s="13">
        <f t="shared" si="7"/>
        <v>2</v>
      </c>
      <c r="G238" s="14">
        <v>0.41</v>
      </c>
      <c r="H238" s="14">
        <v>0</v>
      </c>
      <c r="I238" s="14">
        <v>1</v>
      </c>
      <c r="J238" s="14">
        <v>0</v>
      </c>
      <c r="K238" s="14">
        <v>0</v>
      </c>
      <c r="L238" s="14">
        <v>1</v>
      </c>
      <c r="M238" s="15">
        <v>281.19900000000001</v>
      </c>
      <c r="N238" s="16" t="str">
        <f t="shared" si="9"/>
        <v>W</v>
      </c>
      <c r="O238" s="17">
        <v>9.5</v>
      </c>
      <c r="P238" s="16" t="s">
        <v>137</v>
      </c>
      <c r="Q238" s="18">
        <v>0</v>
      </c>
      <c r="R238" s="19">
        <v>8.42</v>
      </c>
      <c r="S238" s="19">
        <v>6.8</v>
      </c>
      <c r="T238" s="19">
        <v>10.1</v>
      </c>
      <c r="U238" s="20">
        <v>277.2</v>
      </c>
      <c r="V238" s="16" t="s">
        <v>16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1</v>
      </c>
      <c r="AD238" s="21">
        <v>0</v>
      </c>
      <c r="AE238" s="21">
        <v>11.65</v>
      </c>
      <c r="AF238" s="21">
        <v>11.62</v>
      </c>
      <c r="AG238" s="21">
        <v>14.8</v>
      </c>
      <c r="AH238" s="18" t="s">
        <v>29</v>
      </c>
      <c r="AI238" s="13" t="str">
        <f>VLOOKUP(AH238,'Hess and Brezowsky'!$B$2:$G$31,2,FALSE)</f>
        <v>Mixed</v>
      </c>
      <c r="AJ238" s="18" t="str">
        <f>VLOOKUP(AH238,'Hess and Brezowsky'!$B$2:$G$31,3,FALSE)</f>
        <v>C</v>
      </c>
      <c r="AK238" s="13" t="str">
        <f>VLOOKUP(AH238,'Hess and Brezowsky'!$B$2:$G$31,4,FALSE)</f>
        <v>Cyclonic North-Westerly</v>
      </c>
      <c r="AL238" s="29">
        <v>0.30745370370370373</v>
      </c>
      <c r="AM238" s="29">
        <v>0.5037152777777778</v>
      </c>
      <c r="AN238" s="30">
        <v>0.69997685185185188</v>
      </c>
    </row>
    <row r="239" spans="1:40" ht="15.75" customHeight="1" x14ac:dyDescent="0.2">
      <c r="A239" s="27">
        <v>44959</v>
      </c>
      <c r="B239" s="13">
        <v>2023</v>
      </c>
      <c r="C239" s="13">
        <v>33</v>
      </c>
      <c r="D239" s="13">
        <f t="shared" si="8"/>
        <v>5</v>
      </c>
      <c r="E239" s="13"/>
      <c r="F239" s="13">
        <f t="shared" si="7"/>
        <v>3</v>
      </c>
      <c r="G239" s="14">
        <v>1</v>
      </c>
      <c r="H239" s="14">
        <v>0</v>
      </c>
      <c r="I239" s="14">
        <v>0.95</v>
      </c>
      <c r="J239" s="14">
        <v>0</v>
      </c>
      <c r="K239" s="14">
        <v>0</v>
      </c>
      <c r="L239" s="14">
        <v>1</v>
      </c>
      <c r="M239" s="15">
        <v>270.40300000000002</v>
      </c>
      <c r="N239" s="16" t="str">
        <f t="shared" si="9"/>
        <v>W</v>
      </c>
      <c r="O239" s="17">
        <v>9.1</v>
      </c>
      <c r="P239" s="16" t="s">
        <v>137</v>
      </c>
      <c r="Q239" s="18">
        <v>0</v>
      </c>
      <c r="R239" s="19">
        <v>8.33</v>
      </c>
      <c r="S239" s="19">
        <v>5.8</v>
      </c>
      <c r="T239" s="19">
        <v>10.199999999999999</v>
      </c>
      <c r="U239" s="20">
        <v>270.49</v>
      </c>
      <c r="V239" s="16" t="s">
        <v>16</v>
      </c>
      <c r="W239" s="21">
        <v>0</v>
      </c>
      <c r="X239" s="21">
        <v>0</v>
      </c>
      <c r="Y239" s="21">
        <v>0</v>
      </c>
      <c r="Z239" s="21">
        <v>0</v>
      </c>
      <c r="AA239" s="21">
        <v>0</v>
      </c>
      <c r="AB239" s="21">
        <v>0</v>
      </c>
      <c r="AC239" s="21">
        <v>1</v>
      </c>
      <c r="AD239" s="21">
        <v>0</v>
      </c>
      <c r="AE239" s="21">
        <v>10.210000000000001</v>
      </c>
      <c r="AF239" s="21">
        <v>10.130000000000001</v>
      </c>
      <c r="AG239" s="21">
        <v>13.6</v>
      </c>
      <c r="AH239" s="18" t="s">
        <v>29</v>
      </c>
      <c r="AI239" s="13" t="str">
        <f>VLOOKUP(AH239,'Hess and Brezowsky'!$B$2:$G$31,2,FALSE)</f>
        <v>Mixed</v>
      </c>
      <c r="AJ239" s="18" t="str">
        <f>VLOOKUP(AH239,'Hess and Brezowsky'!$B$2:$G$31,3,FALSE)</f>
        <v>C</v>
      </c>
      <c r="AK239" s="13" t="str">
        <f>VLOOKUP(AH239,'Hess and Brezowsky'!$B$2:$G$31,4,FALSE)</f>
        <v>Cyclonic North-Westerly</v>
      </c>
      <c r="AL239" s="29">
        <v>0.30651620370370369</v>
      </c>
      <c r="AM239" s="29">
        <v>0.50381944444444449</v>
      </c>
      <c r="AN239" s="30">
        <v>0.70112268518518517</v>
      </c>
    </row>
    <row r="240" spans="1:40" ht="15.75" customHeight="1" x14ac:dyDescent="0.2">
      <c r="A240" s="27">
        <v>44960</v>
      </c>
      <c r="B240" s="13">
        <v>2023</v>
      </c>
      <c r="C240" s="13">
        <v>34</v>
      </c>
      <c r="D240" s="13">
        <f t="shared" si="8"/>
        <v>6</v>
      </c>
      <c r="E240" s="13"/>
      <c r="F240" s="13">
        <f t="shared" si="7"/>
        <v>3</v>
      </c>
      <c r="G240" s="14">
        <v>1</v>
      </c>
      <c r="H240" s="14">
        <v>0</v>
      </c>
      <c r="I240" s="14">
        <v>1</v>
      </c>
      <c r="J240" s="14">
        <v>0</v>
      </c>
      <c r="K240" s="14">
        <v>0</v>
      </c>
      <c r="L240" s="14">
        <v>1</v>
      </c>
      <c r="M240" s="15">
        <v>274.90600000000001</v>
      </c>
      <c r="N240" s="16" t="str">
        <f t="shared" si="9"/>
        <v>W</v>
      </c>
      <c r="O240" s="17">
        <v>7.9</v>
      </c>
      <c r="P240" s="16" t="s">
        <v>140</v>
      </c>
      <c r="Q240" s="18">
        <v>0</v>
      </c>
      <c r="R240" s="19">
        <v>9.1999999999999993</v>
      </c>
      <c r="S240" s="19">
        <v>7.2</v>
      </c>
      <c r="T240" s="19">
        <v>10.6</v>
      </c>
      <c r="U240" s="20">
        <v>274.26</v>
      </c>
      <c r="V240" s="16" t="s">
        <v>16</v>
      </c>
      <c r="W240" s="21">
        <v>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0.79</v>
      </c>
      <c r="AD240" s="21">
        <v>0.21</v>
      </c>
      <c r="AE240" s="21">
        <v>9.1300000000000008</v>
      </c>
      <c r="AF240" s="21">
        <v>8.8800000000000008</v>
      </c>
      <c r="AG240" s="21">
        <v>12.5</v>
      </c>
      <c r="AH240" s="18" t="s">
        <v>29</v>
      </c>
      <c r="AI240" s="13" t="str">
        <f>VLOOKUP(AH240,'Hess and Brezowsky'!$B$2:$G$31,2,FALSE)</f>
        <v>Mixed</v>
      </c>
      <c r="AJ240" s="18" t="str">
        <f>VLOOKUP(AH240,'Hess and Brezowsky'!$B$2:$G$31,3,FALSE)</f>
        <v>C</v>
      </c>
      <c r="AK240" s="13" t="str">
        <f>VLOOKUP(AH240,'Hess and Brezowsky'!$B$2:$G$31,4,FALSE)</f>
        <v>Cyclonic North-Westerly</v>
      </c>
      <c r="AL240" s="29">
        <v>0.30555555555555558</v>
      </c>
      <c r="AM240" s="29">
        <v>0.50391203703703702</v>
      </c>
      <c r="AN240" s="30">
        <v>0.70226851851851857</v>
      </c>
    </row>
    <row r="241" spans="1:40" ht="15.75" customHeight="1" x14ac:dyDescent="0.2">
      <c r="A241" s="27">
        <v>44961</v>
      </c>
      <c r="B241" s="13">
        <v>2023</v>
      </c>
      <c r="C241" s="13">
        <v>35</v>
      </c>
      <c r="D241" s="13">
        <f t="shared" si="8"/>
        <v>7</v>
      </c>
      <c r="E241" s="13"/>
      <c r="F241" s="13">
        <f t="shared" si="7"/>
        <v>3</v>
      </c>
      <c r="G241" s="14">
        <v>1</v>
      </c>
      <c r="H241" s="14">
        <v>0</v>
      </c>
      <c r="I241" s="14">
        <v>1</v>
      </c>
      <c r="J241" s="14">
        <v>0</v>
      </c>
      <c r="K241" s="14">
        <v>0</v>
      </c>
      <c r="L241" s="14">
        <v>1</v>
      </c>
      <c r="M241" s="15">
        <v>335.291</v>
      </c>
      <c r="N241" s="16" t="str">
        <f t="shared" si="9"/>
        <v>NW</v>
      </c>
      <c r="O241" s="17">
        <v>6.2</v>
      </c>
      <c r="P241" s="16" t="s">
        <v>140</v>
      </c>
      <c r="Q241" s="18">
        <v>1.2</v>
      </c>
      <c r="R241" s="19">
        <v>9.48</v>
      </c>
      <c r="S241" s="19">
        <v>8.4</v>
      </c>
      <c r="T241" s="19">
        <v>10.3</v>
      </c>
      <c r="U241" s="20">
        <v>325.17</v>
      </c>
      <c r="V241" s="16" t="s">
        <v>6</v>
      </c>
      <c r="W241" s="21">
        <v>0.21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0.79</v>
      </c>
      <c r="AE241" s="21">
        <v>6.31</v>
      </c>
      <c r="AF241" s="21">
        <v>6.15</v>
      </c>
      <c r="AG241" s="21">
        <v>10.6</v>
      </c>
      <c r="AH241" s="18" t="s">
        <v>4</v>
      </c>
      <c r="AI241" s="13" t="str">
        <f>VLOOKUP(AH241,'Hess and Brezowsky'!$B$2:$G$31,2,FALSE)</f>
        <v>Mixed</v>
      </c>
      <c r="AJ241" s="18" t="str">
        <f>VLOOKUP(AH241,'Hess and Brezowsky'!$B$2:$G$31,3,FALSE)</f>
        <v>A</v>
      </c>
      <c r="AK241" s="13" t="str">
        <f>VLOOKUP(AH241,'Hess and Brezowsky'!$B$2:$G$31,4,FALSE)</f>
        <v>Zonal Ridge across Central Europe</v>
      </c>
      <c r="AL241" s="29">
        <v>0.30456018518518518</v>
      </c>
      <c r="AM241" s="29">
        <v>0.50399305555555551</v>
      </c>
      <c r="AN241" s="30">
        <v>0.7034259259259259</v>
      </c>
    </row>
    <row r="242" spans="1:40" ht="15.75" customHeight="1" x14ac:dyDescent="0.2">
      <c r="A242" s="27">
        <v>44962</v>
      </c>
      <c r="B242" s="13">
        <v>2023</v>
      </c>
      <c r="C242" s="13">
        <v>36</v>
      </c>
      <c r="D242" s="13">
        <f t="shared" si="8"/>
        <v>1</v>
      </c>
      <c r="E242" s="13"/>
      <c r="F242" s="13">
        <f t="shared" si="7"/>
        <v>3</v>
      </c>
      <c r="G242" s="14">
        <v>1</v>
      </c>
      <c r="H242" s="14">
        <v>0</v>
      </c>
      <c r="I242" s="14">
        <v>1</v>
      </c>
      <c r="J242" s="14">
        <v>0</v>
      </c>
      <c r="K242" s="14">
        <v>0</v>
      </c>
      <c r="L242" s="14">
        <v>1</v>
      </c>
      <c r="M242" s="15">
        <v>0.35899999999999999</v>
      </c>
      <c r="N242" s="16" t="str">
        <f t="shared" si="9"/>
        <v>N</v>
      </c>
      <c r="O242" s="17">
        <v>9.1999999999999993</v>
      </c>
      <c r="P242" s="16" t="s">
        <v>137</v>
      </c>
      <c r="Q242" s="18" t="s">
        <v>169</v>
      </c>
      <c r="R242" s="23" t="e">
        <f>NA()</f>
        <v>#N/A</v>
      </c>
      <c r="S242" s="23" t="e">
        <f>NA()</f>
        <v>#N/A</v>
      </c>
      <c r="T242" s="23" t="e">
        <f>NA()</f>
        <v>#N/A</v>
      </c>
      <c r="U242" s="20" t="e">
        <f>NA()</f>
        <v>#N/A</v>
      </c>
      <c r="V242" s="16" t="e">
        <f>NA()</f>
        <v>#N/A</v>
      </c>
      <c r="W242" s="21" t="e">
        <f>NA()</f>
        <v>#N/A</v>
      </c>
      <c r="X242" s="21" t="e">
        <f>NA()</f>
        <v>#N/A</v>
      </c>
      <c r="Y242" s="21" t="e">
        <f>NA()</f>
        <v>#N/A</v>
      </c>
      <c r="Z242" s="21" t="e">
        <f>NA()</f>
        <v>#N/A</v>
      </c>
      <c r="AA242" s="21" t="e">
        <f>NA()</f>
        <v>#N/A</v>
      </c>
      <c r="AB242" s="21" t="e">
        <f>NA()</f>
        <v>#N/A</v>
      </c>
      <c r="AC242" s="21" t="e">
        <f>NA()</f>
        <v>#N/A</v>
      </c>
      <c r="AD242" s="21" t="e">
        <f>NA()</f>
        <v>#N/A</v>
      </c>
      <c r="AE242" s="21" t="e">
        <f>NA()</f>
        <v>#N/A</v>
      </c>
      <c r="AF242" s="21" t="e">
        <f>NA()</f>
        <v>#N/A</v>
      </c>
      <c r="AG242" s="21" t="e">
        <f>NA()</f>
        <v>#N/A</v>
      </c>
      <c r="AH242" s="18" t="s">
        <v>4</v>
      </c>
      <c r="AI242" s="13" t="str">
        <f>VLOOKUP(AH242,'Hess and Brezowsky'!$B$2:$G$31,2,FALSE)</f>
        <v>Mixed</v>
      </c>
      <c r="AJ242" s="18" t="str">
        <f>VLOOKUP(AH242,'Hess and Brezowsky'!$B$2:$G$31,3,FALSE)</f>
        <v>A</v>
      </c>
      <c r="AK242" s="13" t="str">
        <f>VLOOKUP(AH242,'Hess and Brezowsky'!$B$2:$G$31,4,FALSE)</f>
        <v>Zonal Ridge across Central Europe</v>
      </c>
      <c r="AL242" s="29">
        <v>0.30355324074074075</v>
      </c>
      <c r="AM242" s="29">
        <v>0.50406249999999997</v>
      </c>
      <c r="AN242" s="30">
        <v>0.7045717592592593</v>
      </c>
    </row>
    <row r="243" spans="1:40" ht="15.75" customHeight="1" x14ac:dyDescent="0.2">
      <c r="A243" s="27">
        <v>44963</v>
      </c>
      <c r="B243" s="13">
        <v>2023</v>
      </c>
      <c r="C243" s="13">
        <v>37</v>
      </c>
      <c r="D243" s="13">
        <f t="shared" si="8"/>
        <v>2</v>
      </c>
      <c r="E243" s="13"/>
      <c r="F243" s="13">
        <f t="shared" si="7"/>
        <v>3</v>
      </c>
      <c r="G243" s="14">
        <v>1</v>
      </c>
      <c r="H243" s="14">
        <v>0</v>
      </c>
      <c r="I243" s="14">
        <v>0.66</v>
      </c>
      <c r="J243" s="14">
        <v>0</v>
      </c>
      <c r="K243" s="14">
        <v>0</v>
      </c>
      <c r="L243" s="14">
        <v>1</v>
      </c>
      <c r="M243" s="15">
        <v>43.207999999999998</v>
      </c>
      <c r="N243" s="16" t="str">
        <f t="shared" si="9"/>
        <v>NE</v>
      </c>
      <c r="O243" s="17">
        <v>8.8000000000000007</v>
      </c>
      <c r="P243" s="16" t="s">
        <v>138</v>
      </c>
      <c r="Q243" s="18">
        <v>0.2</v>
      </c>
      <c r="R243" s="19">
        <v>4.55</v>
      </c>
      <c r="S243" s="19">
        <v>2.1</v>
      </c>
      <c r="T243" s="19">
        <v>7.9</v>
      </c>
      <c r="U243" s="20">
        <v>44.95</v>
      </c>
      <c r="V243" s="16" t="s">
        <v>10</v>
      </c>
      <c r="W243" s="21">
        <v>0</v>
      </c>
      <c r="X243" s="21">
        <v>0.96</v>
      </c>
      <c r="Y243" s="21">
        <v>0.04</v>
      </c>
      <c r="Z243" s="21">
        <v>0</v>
      </c>
      <c r="AA243" s="21">
        <v>0</v>
      </c>
      <c r="AB243" s="21">
        <v>0</v>
      </c>
      <c r="AC243" s="21">
        <v>0</v>
      </c>
      <c r="AD243" s="21">
        <v>0</v>
      </c>
      <c r="AE243" s="21">
        <v>9.15</v>
      </c>
      <c r="AF243" s="21">
        <v>8.98</v>
      </c>
      <c r="AG243" s="21">
        <v>13</v>
      </c>
      <c r="AH243" s="18" t="s">
        <v>4</v>
      </c>
      <c r="AI243" s="13" t="str">
        <f>VLOOKUP(AH243,'Hess and Brezowsky'!$B$2:$G$31,2,FALSE)</f>
        <v>Mixed</v>
      </c>
      <c r="AJ243" s="18" t="str">
        <f>VLOOKUP(AH243,'Hess and Brezowsky'!$B$2:$G$31,3,FALSE)</f>
        <v>A</v>
      </c>
      <c r="AK243" s="13" t="str">
        <f>VLOOKUP(AH243,'Hess and Brezowsky'!$B$2:$G$31,4,FALSE)</f>
        <v>Zonal Ridge across Central Europe</v>
      </c>
      <c r="AL243" s="29">
        <v>0.30253472222222222</v>
      </c>
      <c r="AM243" s="29">
        <v>0.50413194444444442</v>
      </c>
      <c r="AN243" s="30">
        <v>0.70572916666666663</v>
      </c>
    </row>
    <row r="244" spans="1:40" ht="15.75" customHeight="1" x14ac:dyDescent="0.2">
      <c r="A244" s="27">
        <v>44964</v>
      </c>
      <c r="B244" s="13">
        <v>2023</v>
      </c>
      <c r="C244" s="13">
        <v>38</v>
      </c>
      <c r="D244" s="13">
        <f t="shared" si="8"/>
        <v>3</v>
      </c>
      <c r="E244" s="13"/>
      <c r="F244" s="13">
        <f t="shared" si="7"/>
        <v>2</v>
      </c>
      <c r="G244" s="14">
        <v>1</v>
      </c>
      <c r="H244" s="14">
        <v>0</v>
      </c>
      <c r="I244" s="14">
        <v>0.37</v>
      </c>
      <c r="J244" s="14">
        <v>0</v>
      </c>
      <c r="K244" s="14">
        <v>0</v>
      </c>
      <c r="L244" s="14">
        <v>1</v>
      </c>
      <c r="M244" s="15">
        <v>70.177000000000007</v>
      </c>
      <c r="N244" s="16" t="str">
        <f t="shared" si="9"/>
        <v>E</v>
      </c>
      <c r="O244" s="17">
        <v>7.9</v>
      </c>
      <c r="P244" s="16" t="s">
        <v>139</v>
      </c>
      <c r="Q244" s="18">
        <v>0.4</v>
      </c>
      <c r="R244" s="19">
        <v>3.2</v>
      </c>
      <c r="S244" s="19">
        <v>0.6</v>
      </c>
      <c r="T244" s="19">
        <v>6.7</v>
      </c>
      <c r="U244" s="20">
        <v>71.61</v>
      </c>
      <c r="V244" s="16" t="s">
        <v>9</v>
      </c>
      <c r="W244" s="21">
        <v>0</v>
      </c>
      <c r="X244" s="21">
        <v>0.33</v>
      </c>
      <c r="Y244" s="21">
        <v>0.67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7.26</v>
      </c>
      <c r="AF244" s="21">
        <v>7.16</v>
      </c>
      <c r="AG244" s="21">
        <v>11.9</v>
      </c>
      <c r="AH244" s="18" t="s">
        <v>4</v>
      </c>
      <c r="AI244" s="13" t="str">
        <f>VLOOKUP(AH244,'Hess and Brezowsky'!$B$2:$G$31,2,FALSE)</f>
        <v>Mixed</v>
      </c>
      <c r="AJ244" s="18" t="str">
        <f>VLOOKUP(AH244,'Hess and Brezowsky'!$B$2:$G$31,3,FALSE)</f>
        <v>A</v>
      </c>
      <c r="AK244" s="13" t="str">
        <f>VLOOKUP(AH244,'Hess and Brezowsky'!$B$2:$G$31,4,FALSE)</f>
        <v>Zonal Ridge across Central Europe</v>
      </c>
      <c r="AL244" s="29">
        <v>0.30148148148148146</v>
      </c>
      <c r="AM244" s="29">
        <v>0.50418981481481484</v>
      </c>
      <c r="AN244" s="30">
        <v>0.70688657407407407</v>
      </c>
    </row>
    <row r="245" spans="1:40" ht="15.75" customHeight="1" x14ac:dyDescent="0.2">
      <c r="A245" s="27">
        <v>44965</v>
      </c>
      <c r="B245" s="13">
        <v>2023</v>
      </c>
      <c r="C245" s="13">
        <v>39</v>
      </c>
      <c r="D245" s="13">
        <f t="shared" si="8"/>
        <v>4</v>
      </c>
      <c r="E245" s="13"/>
      <c r="F245" s="13">
        <f t="shared" si="7"/>
        <v>2</v>
      </c>
      <c r="G245" s="14">
        <v>1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5">
        <v>98.108000000000004</v>
      </c>
      <c r="N245" s="16" t="str">
        <f t="shared" si="9"/>
        <v>E</v>
      </c>
      <c r="O245" s="17">
        <v>5.2</v>
      </c>
      <c r="P245" s="16" t="s">
        <v>139</v>
      </c>
      <c r="Q245" s="18">
        <v>0</v>
      </c>
      <c r="R245" s="19">
        <v>2.48</v>
      </c>
      <c r="S245" s="19">
        <v>-0.5</v>
      </c>
      <c r="T245" s="19">
        <v>7.5</v>
      </c>
      <c r="U245" s="20">
        <v>102.65</v>
      </c>
      <c r="V245" s="16" t="s">
        <v>9</v>
      </c>
      <c r="W245" s="21">
        <v>0</v>
      </c>
      <c r="X245" s="21">
        <v>0.04</v>
      </c>
      <c r="Y245" s="21">
        <v>0.71</v>
      </c>
      <c r="Z245" s="21">
        <v>0.25</v>
      </c>
      <c r="AA245" s="21">
        <v>0</v>
      </c>
      <c r="AB245" s="21">
        <v>0</v>
      </c>
      <c r="AC245" s="21">
        <v>0</v>
      </c>
      <c r="AD245" s="21">
        <v>0</v>
      </c>
      <c r="AE245" s="21">
        <v>4.55</v>
      </c>
      <c r="AF245" s="21">
        <v>4.07</v>
      </c>
      <c r="AG245" s="21">
        <v>7.1</v>
      </c>
      <c r="AH245" s="18" t="s">
        <v>4</v>
      </c>
      <c r="AI245" s="13" t="str">
        <f>VLOOKUP(AH245,'Hess and Brezowsky'!$B$2:$G$31,2,FALSE)</f>
        <v>Mixed</v>
      </c>
      <c r="AJ245" s="18" t="str">
        <f>VLOOKUP(AH245,'Hess and Brezowsky'!$B$2:$G$31,3,FALSE)</f>
        <v>A</v>
      </c>
      <c r="AK245" s="13" t="str">
        <f>VLOOKUP(AH245,'Hess and Brezowsky'!$B$2:$G$31,4,FALSE)</f>
        <v>Zonal Ridge across Central Europe</v>
      </c>
      <c r="AL245" s="29">
        <v>0.30041666666666667</v>
      </c>
      <c r="AM245" s="29">
        <v>0.50423611111111111</v>
      </c>
      <c r="AN245" s="30">
        <v>0.70804398148148151</v>
      </c>
    </row>
    <row r="246" spans="1:40" ht="15.75" customHeight="1" x14ac:dyDescent="0.2">
      <c r="A246" s="27">
        <v>44966</v>
      </c>
      <c r="B246" s="13">
        <v>2023</v>
      </c>
      <c r="C246" s="13">
        <v>40</v>
      </c>
      <c r="D246" s="13">
        <f t="shared" si="8"/>
        <v>5</v>
      </c>
      <c r="E246" s="13"/>
      <c r="F246" s="13">
        <f t="shared" ref="F246:F309" si="10">IF(G246 &gt; 0.5,1,0)+IF(H246 &gt; 0.5,1,0)+IF(I246 &gt; 0.5,1,0)+IF(J246 &gt; 0.5,1,0)+IF(K246 &gt; 0.5,1,0)+IF(L247 &gt; 0.5,1,0)</f>
        <v>2</v>
      </c>
      <c r="G246" s="14">
        <v>1</v>
      </c>
      <c r="H246" s="14">
        <v>0</v>
      </c>
      <c r="I246" s="14">
        <v>0.45</v>
      </c>
      <c r="J246" s="14">
        <v>0</v>
      </c>
      <c r="K246" s="14">
        <v>0</v>
      </c>
      <c r="L246" s="14">
        <v>1</v>
      </c>
      <c r="M246" s="15">
        <v>277.577</v>
      </c>
      <c r="N246" s="16" t="str">
        <f t="shared" si="9"/>
        <v>W</v>
      </c>
      <c r="O246" s="17">
        <v>2.2999999999999998</v>
      </c>
      <c r="P246" s="16" t="s">
        <v>138</v>
      </c>
      <c r="Q246" s="18">
        <v>0</v>
      </c>
      <c r="R246" s="19">
        <v>2.94</v>
      </c>
      <c r="S246" s="19">
        <v>-2.1</v>
      </c>
      <c r="T246" s="19">
        <v>7.6</v>
      </c>
      <c r="U246" s="20">
        <v>286.67</v>
      </c>
      <c r="V246" s="16" t="s">
        <v>16</v>
      </c>
      <c r="W246" s="21">
        <v>0.08</v>
      </c>
      <c r="X246" s="21">
        <v>0</v>
      </c>
      <c r="Y246" s="21">
        <v>0</v>
      </c>
      <c r="Z246" s="21">
        <v>0</v>
      </c>
      <c r="AA246" s="21">
        <v>0.17</v>
      </c>
      <c r="AB246" s="21">
        <v>0.21</v>
      </c>
      <c r="AC246" s="21">
        <v>0.25</v>
      </c>
      <c r="AD246" s="21">
        <v>0.28999999999999998</v>
      </c>
      <c r="AE246" s="21">
        <v>2.09</v>
      </c>
      <c r="AF246" s="21">
        <v>1.22</v>
      </c>
      <c r="AG246" s="21">
        <v>4.9000000000000004</v>
      </c>
      <c r="AH246" s="18" t="s">
        <v>4</v>
      </c>
      <c r="AI246" s="13" t="str">
        <f>VLOOKUP(AH246,'Hess and Brezowsky'!$B$2:$G$31,2,FALSE)</f>
        <v>Mixed</v>
      </c>
      <c r="AJ246" s="18" t="str">
        <f>VLOOKUP(AH246,'Hess and Brezowsky'!$B$2:$G$31,3,FALSE)</f>
        <v>A</v>
      </c>
      <c r="AK246" s="13" t="str">
        <f>VLOOKUP(AH246,'Hess and Brezowsky'!$B$2:$G$31,4,FALSE)</f>
        <v>Zonal Ridge across Central Europe</v>
      </c>
      <c r="AL246" s="29">
        <v>0.29932870370370368</v>
      </c>
      <c r="AM246" s="29">
        <v>0.50427083333333333</v>
      </c>
      <c r="AN246" s="30">
        <v>0.70920138888888884</v>
      </c>
    </row>
    <row r="247" spans="1:40" ht="15.75" customHeight="1" x14ac:dyDescent="0.2">
      <c r="A247" s="27">
        <v>44967</v>
      </c>
      <c r="B247" s="13">
        <v>2023</v>
      </c>
      <c r="C247" s="13">
        <v>41</v>
      </c>
      <c r="D247" s="13">
        <f t="shared" si="8"/>
        <v>6</v>
      </c>
      <c r="E247" s="13"/>
      <c r="F247" s="13">
        <f t="shared" si="10"/>
        <v>3</v>
      </c>
      <c r="G247" s="14">
        <v>1</v>
      </c>
      <c r="H247" s="14">
        <v>0</v>
      </c>
      <c r="I247" s="14">
        <v>0.91</v>
      </c>
      <c r="J247" s="14">
        <v>0</v>
      </c>
      <c r="K247" s="14">
        <v>0</v>
      </c>
      <c r="L247" s="14">
        <v>1</v>
      </c>
      <c r="M247" s="15">
        <v>240.13499999999999</v>
      </c>
      <c r="N247" s="16" t="str">
        <f t="shared" si="9"/>
        <v>SW</v>
      </c>
      <c r="O247" s="17">
        <v>3.8</v>
      </c>
      <c r="P247" s="16" t="s">
        <v>137</v>
      </c>
      <c r="Q247" s="18">
        <v>0</v>
      </c>
      <c r="R247" s="19">
        <v>6.56</v>
      </c>
      <c r="S247" s="19">
        <v>4.2</v>
      </c>
      <c r="T247" s="19">
        <v>10.3</v>
      </c>
      <c r="U247" s="20">
        <v>249.51</v>
      </c>
      <c r="V247" s="16" t="s">
        <v>16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0.54</v>
      </c>
      <c r="AC247" s="21">
        <v>0.42</v>
      </c>
      <c r="AD247" s="21">
        <v>0.04</v>
      </c>
      <c r="AE247" s="21">
        <v>3.03</v>
      </c>
      <c r="AF247" s="21">
        <v>2.87</v>
      </c>
      <c r="AG247" s="21">
        <v>6</v>
      </c>
      <c r="AH247" s="18" t="s">
        <v>8</v>
      </c>
      <c r="AI247" s="13" t="str">
        <f>VLOOKUP(AH247,'Hess and Brezowsky'!$B$2:$G$31,2,FALSE)</f>
        <v>Mixed</v>
      </c>
      <c r="AJ247" s="18" t="str">
        <f>VLOOKUP(AH247,'Hess and Brezowsky'!$B$2:$G$31,3,FALSE)</f>
        <v>A</v>
      </c>
      <c r="AK247" s="13" t="str">
        <f>VLOOKUP(AH247,'Hess and Brezowsky'!$B$2:$G$31,4,FALSE)</f>
        <v>High over Central Europe</v>
      </c>
      <c r="AL247" s="29">
        <v>0.29822916666666666</v>
      </c>
      <c r="AM247" s="29">
        <v>0.50429398148148152</v>
      </c>
      <c r="AN247" s="30">
        <v>0.71035879629629628</v>
      </c>
    </row>
    <row r="248" spans="1:40" ht="15.75" customHeight="1" x14ac:dyDescent="0.2">
      <c r="A248" s="27">
        <v>44968</v>
      </c>
      <c r="B248" s="13">
        <v>2023</v>
      </c>
      <c r="C248" s="13">
        <v>42</v>
      </c>
      <c r="D248" s="13">
        <f t="shared" si="8"/>
        <v>7</v>
      </c>
      <c r="E248" s="13"/>
      <c r="F248" s="13">
        <f t="shared" si="10"/>
        <v>3</v>
      </c>
      <c r="G248" s="14">
        <v>1</v>
      </c>
      <c r="H248" s="14">
        <v>0</v>
      </c>
      <c r="I248" s="14">
        <v>0.75</v>
      </c>
      <c r="J248" s="14">
        <v>0</v>
      </c>
      <c r="K248" s="14">
        <v>0</v>
      </c>
      <c r="L248" s="14">
        <v>1</v>
      </c>
      <c r="M248" s="15">
        <v>9.9870000000000001</v>
      </c>
      <c r="N248" s="16" t="str">
        <f t="shared" si="9"/>
        <v>N</v>
      </c>
      <c r="O248" s="17">
        <v>3.5</v>
      </c>
      <c r="P248" s="16" t="s">
        <v>137</v>
      </c>
      <c r="Q248" s="18">
        <v>0</v>
      </c>
      <c r="R248" s="19">
        <v>6.67</v>
      </c>
      <c r="S248" s="19">
        <v>1.9</v>
      </c>
      <c r="T248" s="19">
        <v>10.6</v>
      </c>
      <c r="U248" s="20">
        <v>6.77</v>
      </c>
      <c r="V248" s="16" t="s">
        <v>7</v>
      </c>
      <c r="W248" s="21">
        <v>0.04</v>
      </c>
      <c r="X248" s="21">
        <v>0.38</v>
      </c>
      <c r="Y248" s="21">
        <v>0.21</v>
      </c>
      <c r="Z248" s="21">
        <v>0</v>
      </c>
      <c r="AA248" s="21">
        <v>0</v>
      </c>
      <c r="AB248" s="21">
        <v>0</v>
      </c>
      <c r="AC248" s="21">
        <v>0.12</v>
      </c>
      <c r="AD248" s="21">
        <v>0.25</v>
      </c>
      <c r="AE248" s="21">
        <v>3.39</v>
      </c>
      <c r="AF248" s="21">
        <v>1.61</v>
      </c>
      <c r="AG248" s="21">
        <v>6</v>
      </c>
      <c r="AH248" s="18" t="s">
        <v>8</v>
      </c>
      <c r="AI248" s="13" t="str">
        <f>VLOOKUP(AH248,'Hess and Brezowsky'!$B$2:$G$31,2,FALSE)</f>
        <v>Mixed</v>
      </c>
      <c r="AJ248" s="18" t="str">
        <f>VLOOKUP(AH248,'Hess and Brezowsky'!$B$2:$G$31,3,FALSE)</f>
        <v>A</v>
      </c>
      <c r="AK248" s="13" t="str">
        <f>VLOOKUP(AH248,'Hess and Brezowsky'!$B$2:$G$31,4,FALSE)</f>
        <v>High over Central Europe</v>
      </c>
      <c r="AL248" s="29">
        <v>0.2971064814814815</v>
      </c>
      <c r="AM248" s="29">
        <v>0.50430555555555556</v>
      </c>
      <c r="AN248" s="30">
        <v>0.71151620370370372</v>
      </c>
    </row>
    <row r="249" spans="1:40" ht="15.75" customHeight="1" x14ac:dyDescent="0.2">
      <c r="A249" s="27">
        <v>44969</v>
      </c>
      <c r="B249" s="13">
        <v>2023</v>
      </c>
      <c r="C249" s="13">
        <v>43</v>
      </c>
      <c r="D249" s="13">
        <f t="shared" si="8"/>
        <v>1</v>
      </c>
      <c r="E249" s="13"/>
      <c r="F249" s="13">
        <f t="shared" si="10"/>
        <v>3</v>
      </c>
      <c r="G249" s="14">
        <v>1</v>
      </c>
      <c r="H249" s="14">
        <v>0</v>
      </c>
      <c r="I249" s="14">
        <v>0.66</v>
      </c>
      <c r="J249" s="14">
        <v>0</v>
      </c>
      <c r="K249" s="14">
        <v>0</v>
      </c>
      <c r="L249" s="14">
        <v>1</v>
      </c>
      <c r="M249" s="15">
        <v>96.352000000000004</v>
      </c>
      <c r="N249" s="16" t="str">
        <f t="shared" si="9"/>
        <v>E</v>
      </c>
      <c r="O249" s="17">
        <v>6</v>
      </c>
      <c r="P249" s="16" t="s">
        <v>140</v>
      </c>
      <c r="Q249" s="18">
        <v>0</v>
      </c>
      <c r="R249" s="19">
        <v>7.55</v>
      </c>
      <c r="S249" s="19">
        <v>5.2</v>
      </c>
      <c r="T249" s="19">
        <v>9.6</v>
      </c>
      <c r="U249" s="20">
        <v>100.31</v>
      </c>
      <c r="V249" s="16" t="s">
        <v>9</v>
      </c>
      <c r="W249" s="21">
        <v>0</v>
      </c>
      <c r="X249" s="21">
        <v>0</v>
      </c>
      <c r="Y249" s="21">
        <v>0.96</v>
      </c>
      <c r="Z249" s="21">
        <v>0.04</v>
      </c>
      <c r="AA249" s="21">
        <v>0</v>
      </c>
      <c r="AB249" s="21">
        <v>0</v>
      </c>
      <c r="AC249" s="21">
        <v>0</v>
      </c>
      <c r="AD249" s="21">
        <v>0</v>
      </c>
      <c r="AE249" s="21">
        <v>5.76</v>
      </c>
      <c r="AF249" s="21">
        <v>5.69</v>
      </c>
      <c r="AG249" s="21">
        <v>8.5</v>
      </c>
      <c r="AH249" s="18" t="s">
        <v>8</v>
      </c>
      <c r="AI249" s="13" t="str">
        <f>VLOOKUP(AH249,'Hess and Brezowsky'!$B$2:$G$31,2,FALSE)</f>
        <v>Mixed</v>
      </c>
      <c r="AJ249" s="18" t="str">
        <f>VLOOKUP(AH249,'Hess and Brezowsky'!$B$2:$G$31,3,FALSE)</f>
        <v>A</v>
      </c>
      <c r="AK249" s="13" t="str">
        <f>VLOOKUP(AH249,'Hess and Brezowsky'!$B$2:$G$31,4,FALSE)</f>
        <v>High over Central Europe</v>
      </c>
      <c r="AL249" s="29">
        <v>0.29596064814814815</v>
      </c>
      <c r="AM249" s="29">
        <v>0.5043171296296296</v>
      </c>
      <c r="AN249" s="30">
        <v>0.71267361111111116</v>
      </c>
    </row>
    <row r="250" spans="1:40" ht="15.75" customHeight="1" x14ac:dyDescent="0.2">
      <c r="A250" s="27">
        <v>44970</v>
      </c>
      <c r="B250" s="13">
        <v>2023</v>
      </c>
      <c r="C250" s="13">
        <v>44</v>
      </c>
      <c r="D250" s="13">
        <f t="shared" si="8"/>
        <v>2</v>
      </c>
      <c r="E250" s="13"/>
      <c r="F250" s="13">
        <f t="shared" si="10"/>
        <v>2</v>
      </c>
      <c r="G250" s="14">
        <v>1</v>
      </c>
      <c r="H250" s="14">
        <v>0</v>
      </c>
      <c r="I250" s="14">
        <v>0.04</v>
      </c>
      <c r="J250" s="14">
        <v>0</v>
      </c>
      <c r="K250" s="14">
        <v>0</v>
      </c>
      <c r="L250" s="14">
        <v>1</v>
      </c>
      <c r="M250" s="15">
        <v>148.31200000000001</v>
      </c>
      <c r="N250" s="16" t="str">
        <f t="shared" si="9"/>
        <v>SE</v>
      </c>
      <c r="O250" s="17">
        <v>4.7</v>
      </c>
      <c r="P250" s="16" t="s">
        <v>138</v>
      </c>
      <c r="Q250" s="18">
        <v>0</v>
      </c>
      <c r="R250" s="19">
        <v>6.89</v>
      </c>
      <c r="S250" s="19">
        <v>3.2</v>
      </c>
      <c r="T250" s="19">
        <v>12.2</v>
      </c>
      <c r="U250" s="20">
        <v>149.62</v>
      </c>
      <c r="V250" s="16" t="s">
        <v>11</v>
      </c>
      <c r="W250" s="21">
        <v>0</v>
      </c>
      <c r="X250" s="21">
        <v>0</v>
      </c>
      <c r="Y250" s="21">
        <v>0</v>
      </c>
      <c r="Z250" s="21">
        <v>0.79</v>
      </c>
      <c r="AA250" s="21">
        <v>0.17</v>
      </c>
      <c r="AB250" s="21">
        <v>0.04</v>
      </c>
      <c r="AC250" s="21">
        <v>0</v>
      </c>
      <c r="AD250" s="21">
        <v>0</v>
      </c>
      <c r="AE250" s="21">
        <v>4.7300000000000004</v>
      </c>
      <c r="AF250" s="21">
        <v>4.58</v>
      </c>
      <c r="AG250" s="21">
        <v>9</v>
      </c>
      <c r="AH250" s="18" t="s">
        <v>8</v>
      </c>
      <c r="AI250" s="13" t="str">
        <f>VLOOKUP(AH250,'Hess and Brezowsky'!$B$2:$G$31,2,FALSE)</f>
        <v>Mixed</v>
      </c>
      <c r="AJ250" s="18" t="str">
        <f>VLOOKUP(AH250,'Hess and Brezowsky'!$B$2:$G$31,3,FALSE)</f>
        <v>A</v>
      </c>
      <c r="AK250" s="13" t="str">
        <f>VLOOKUP(AH250,'Hess and Brezowsky'!$B$2:$G$31,4,FALSE)</f>
        <v>High over Central Europe</v>
      </c>
      <c r="AL250" s="29">
        <v>0.29480324074074077</v>
      </c>
      <c r="AM250" s="29">
        <v>0.5043171296296296</v>
      </c>
      <c r="AN250" s="30">
        <v>0.71381944444444445</v>
      </c>
    </row>
    <row r="251" spans="1:40" ht="15.75" customHeight="1" x14ac:dyDescent="0.2">
      <c r="A251" s="27">
        <v>44971</v>
      </c>
      <c r="B251" s="13">
        <v>2023</v>
      </c>
      <c r="C251" s="13">
        <v>45</v>
      </c>
      <c r="D251" s="13">
        <f t="shared" si="8"/>
        <v>3</v>
      </c>
      <c r="E251" s="13"/>
      <c r="F251" s="13">
        <f t="shared" si="10"/>
        <v>2</v>
      </c>
      <c r="G251" s="14">
        <v>1</v>
      </c>
      <c r="H251" s="14">
        <v>0</v>
      </c>
      <c r="I251" s="14">
        <v>0.08</v>
      </c>
      <c r="J251" s="14">
        <v>0</v>
      </c>
      <c r="K251" s="14">
        <v>0</v>
      </c>
      <c r="L251" s="14">
        <v>1</v>
      </c>
      <c r="M251" s="15">
        <v>130.405</v>
      </c>
      <c r="N251" s="16" t="str">
        <f t="shared" si="9"/>
        <v>SE</v>
      </c>
      <c r="O251" s="17">
        <v>3.7</v>
      </c>
      <c r="P251" s="16" t="s">
        <v>138</v>
      </c>
      <c r="Q251" s="18">
        <v>0</v>
      </c>
      <c r="R251" s="19">
        <v>6.98</v>
      </c>
      <c r="S251" s="19">
        <v>1.6</v>
      </c>
      <c r="T251" s="19">
        <v>13.4</v>
      </c>
      <c r="U251" s="20">
        <v>137.22999999999999</v>
      </c>
      <c r="V251" s="16" t="s">
        <v>11</v>
      </c>
      <c r="W251" s="21">
        <v>0.04</v>
      </c>
      <c r="X251" s="21">
        <v>0</v>
      </c>
      <c r="Y251" s="21">
        <v>0.21</v>
      </c>
      <c r="Z251" s="21">
        <v>0.54</v>
      </c>
      <c r="AA251" s="21">
        <v>0</v>
      </c>
      <c r="AB251" s="21">
        <v>0.17</v>
      </c>
      <c r="AC251" s="21">
        <v>0.04</v>
      </c>
      <c r="AD251" s="21">
        <v>0</v>
      </c>
      <c r="AE251" s="21">
        <v>3.78</v>
      </c>
      <c r="AF251" s="21">
        <v>2.92</v>
      </c>
      <c r="AG251" s="21">
        <v>9.8000000000000007</v>
      </c>
      <c r="AH251" s="18" t="s">
        <v>8</v>
      </c>
      <c r="AI251" s="13" t="str">
        <f>VLOOKUP(AH251,'Hess and Brezowsky'!$B$2:$G$31,2,FALSE)</f>
        <v>Mixed</v>
      </c>
      <c r="AJ251" s="18" t="str">
        <f>VLOOKUP(AH251,'Hess and Brezowsky'!$B$2:$G$31,3,FALSE)</f>
        <v>A</v>
      </c>
      <c r="AK251" s="13" t="str">
        <f>VLOOKUP(AH251,'Hess and Brezowsky'!$B$2:$G$31,4,FALSE)</f>
        <v>High over Central Europe</v>
      </c>
      <c r="AL251" s="29">
        <v>0.29363425925925923</v>
      </c>
      <c r="AM251" s="29">
        <v>0.50430555555555556</v>
      </c>
      <c r="AN251" s="30">
        <v>0.71497685185185189</v>
      </c>
    </row>
    <row r="252" spans="1:40" ht="15.75" customHeight="1" x14ac:dyDescent="0.2">
      <c r="A252" s="27">
        <v>44972</v>
      </c>
      <c r="B252" s="13">
        <v>2023</v>
      </c>
      <c r="C252" s="13">
        <v>46</v>
      </c>
      <c r="D252" s="13">
        <f t="shared" si="8"/>
        <v>4</v>
      </c>
      <c r="E252" s="13"/>
      <c r="F252" s="13">
        <f t="shared" si="10"/>
        <v>2</v>
      </c>
      <c r="G252" s="14">
        <v>1</v>
      </c>
      <c r="H252" s="14">
        <v>0</v>
      </c>
      <c r="I252" s="14">
        <v>0.08</v>
      </c>
      <c r="J252" s="14">
        <v>0</v>
      </c>
      <c r="K252" s="14">
        <v>0</v>
      </c>
      <c r="L252" s="14">
        <v>1</v>
      </c>
      <c r="M252" s="15">
        <v>222.352</v>
      </c>
      <c r="N252" s="16" t="str">
        <f t="shared" si="9"/>
        <v>SW</v>
      </c>
      <c r="O252" s="17">
        <v>5.7</v>
      </c>
      <c r="P252" s="16" t="s">
        <v>137</v>
      </c>
      <c r="Q252" s="18">
        <v>0</v>
      </c>
      <c r="R252" s="19">
        <v>7.02</v>
      </c>
      <c r="S252" s="19">
        <v>2.5</v>
      </c>
      <c r="T252" s="19">
        <v>12.2</v>
      </c>
      <c r="U252" s="20">
        <v>221.75</v>
      </c>
      <c r="V252" s="16" t="s">
        <v>5</v>
      </c>
      <c r="W252" s="21">
        <v>0</v>
      </c>
      <c r="X252" s="21">
        <v>0</v>
      </c>
      <c r="Y252" s="21">
        <v>0</v>
      </c>
      <c r="Z252" s="21">
        <v>0</v>
      </c>
      <c r="AA252" s="21">
        <v>0.28999999999999998</v>
      </c>
      <c r="AB252" s="21">
        <v>0.5</v>
      </c>
      <c r="AC252" s="21">
        <v>0.21</v>
      </c>
      <c r="AD252" s="21">
        <v>0</v>
      </c>
      <c r="AE252" s="21">
        <v>4.79</v>
      </c>
      <c r="AF252" s="21">
        <v>4.3499999999999996</v>
      </c>
      <c r="AG252" s="21">
        <v>11</v>
      </c>
      <c r="AH252" s="18" t="s">
        <v>28</v>
      </c>
      <c r="AI252" s="13" t="str">
        <f>VLOOKUP(AH252,'Hess and Brezowsky'!$B$2:$G$31,2,FALSE)</f>
        <v>Zonal</v>
      </c>
      <c r="AJ252" s="18" t="str">
        <f>VLOOKUP(AH252,'Hess and Brezowsky'!$B$2:$G$31,3,FALSE)</f>
        <v>C</v>
      </c>
      <c r="AK252" s="13" t="str">
        <f>VLOOKUP(AH252,'Hess and Brezowsky'!$B$2:$G$31,4,FALSE)</f>
        <v>Cyclonic Westerly</v>
      </c>
      <c r="AL252" s="29">
        <v>0.29244212962962962</v>
      </c>
      <c r="AM252" s="29">
        <v>0.50428240740740737</v>
      </c>
      <c r="AN252" s="30">
        <v>0.71612268518518518</v>
      </c>
    </row>
    <row r="253" spans="1:40" ht="15.75" customHeight="1" x14ac:dyDescent="0.2">
      <c r="A253" s="27">
        <v>44973</v>
      </c>
      <c r="B253" s="13">
        <v>2023</v>
      </c>
      <c r="C253" s="13">
        <v>47</v>
      </c>
      <c r="D253" s="13">
        <f t="shared" si="8"/>
        <v>5</v>
      </c>
      <c r="E253" s="13"/>
      <c r="F253" s="13">
        <f t="shared" si="10"/>
        <v>3</v>
      </c>
      <c r="G253" s="14">
        <v>1</v>
      </c>
      <c r="H253" s="14">
        <v>0</v>
      </c>
      <c r="I253" s="14">
        <v>0.57999999999999996</v>
      </c>
      <c r="J253" s="14">
        <v>0</v>
      </c>
      <c r="K253" s="14">
        <v>0</v>
      </c>
      <c r="L253" s="14">
        <v>1</v>
      </c>
      <c r="M253" s="15">
        <v>238.30199999999999</v>
      </c>
      <c r="N253" s="16" t="str">
        <f t="shared" si="9"/>
        <v>SW</v>
      </c>
      <c r="O253" s="17">
        <v>8.9</v>
      </c>
      <c r="P253" s="16" t="s">
        <v>137</v>
      </c>
      <c r="Q253" s="18">
        <v>0</v>
      </c>
      <c r="R253" s="19">
        <v>9.41</v>
      </c>
      <c r="S253" s="19">
        <v>4.2</v>
      </c>
      <c r="T253" s="19">
        <v>14.6</v>
      </c>
      <c r="U253" s="20">
        <v>239.89</v>
      </c>
      <c r="V253" s="16" t="s">
        <v>5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0.83</v>
      </c>
      <c r="AC253" s="21">
        <v>0.17</v>
      </c>
      <c r="AD253" s="21">
        <v>0</v>
      </c>
      <c r="AE253" s="21">
        <v>8.2100000000000009</v>
      </c>
      <c r="AF253" s="21">
        <v>8.1199999999999992</v>
      </c>
      <c r="AG253" s="21">
        <v>11.6</v>
      </c>
      <c r="AH253" s="18" t="s">
        <v>28</v>
      </c>
      <c r="AI253" s="13" t="str">
        <f>VLOOKUP(AH253,'Hess and Brezowsky'!$B$2:$G$31,2,FALSE)</f>
        <v>Zonal</v>
      </c>
      <c r="AJ253" s="18" t="str">
        <f>VLOOKUP(AH253,'Hess and Brezowsky'!$B$2:$G$31,3,FALSE)</f>
        <v>C</v>
      </c>
      <c r="AK253" s="13" t="str">
        <f>VLOOKUP(AH253,'Hess and Brezowsky'!$B$2:$G$31,4,FALSE)</f>
        <v>Cyclonic Westerly</v>
      </c>
      <c r="AL253" s="29">
        <v>0.29123842592592591</v>
      </c>
      <c r="AM253" s="29">
        <v>0.5042592592592593</v>
      </c>
      <c r="AN253" s="30">
        <v>0.71726851851851847</v>
      </c>
    </row>
    <row r="254" spans="1:40" ht="15.75" customHeight="1" x14ac:dyDescent="0.2">
      <c r="A254" s="27">
        <v>44974</v>
      </c>
      <c r="B254" s="13">
        <v>2023</v>
      </c>
      <c r="C254" s="13">
        <v>48</v>
      </c>
      <c r="D254" s="13">
        <f t="shared" si="8"/>
        <v>6</v>
      </c>
      <c r="E254" s="13"/>
      <c r="F254" s="13">
        <f t="shared" si="10"/>
        <v>2</v>
      </c>
      <c r="G254" s="14">
        <v>1</v>
      </c>
      <c r="H254" s="14">
        <v>0</v>
      </c>
      <c r="I254" s="14">
        <v>0</v>
      </c>
      <c r="J254" s="14">
        <v>0</v>
      </c>
      <c r="K254" s="14">
        <v>0</v>
      </c>
      <c r="L254" s="14">
        <v>1</v>
      </c>
      <c r="M254" s="15">
        <v>255.21700000000001</v>
      </c>
      <c r="N254" s="16" t="str">
        <f t="shared" si="9"/>
        <v>W</v>
      </c>
      <c r="O254" s="17">
        <v>8.3000000000000007</v>
      </c>
      <c r="P254" s="16" t="s">
        <v>140</v>
      </c>
      <c r="Q254" s="18">
        <v>0</v>
      </c>
      <c r="R254" s="19">
        <v>12.94</v>
      </c>
      <c r="S254" s="19">
        <v>11</v>
      </c>
      <c r="T254" s="19">
        <v>15.7</v>
      </c>
      <c r="U254" s="20">
        <v>255.19</v>
      </c>
      <c r="V254" s="16" t="s">
        <v>16</v>
      </c>
      <c r="W254" s="21">
        <v>0</v>
      </c>
      <c r="X254" s="21">
        <v>0</v>
      </c>
      <c r="Y254" s="21">
        <v>0</v>
      </c>
      <c r="Z254" s="21">
        <v>0</v>
      </c>
      <c r="AA254" s="21">
        <v>0</v>
      </c>
      <c r="AB254" s="21">
        <v>0.25</v>
      </c>
      <c r="AC254" s="21">
        <v>0.75</v>
      </c>
      <c r="AD254" s="21">
        <v>0</v>
      </c>
      <c r="AE254" s="21">
        <v>8.9499999999999993</v>
      </c>
      <c r="AF254" s="21">
        <v>8.7200000000000006</v>
      </c>
      <c r="AG254" s="21">
        <v>11</v>
      </c>
      <c r="AH254" s="18" t="s">
        <v>28</v>
      </c>
      <c r="AI254" s="13" t="str">
        <f>VLOOKUP(AH254,'Hess and Brezowsky'!$B$2:$G$31,2,FALSE)</f>
        <v>Zonal</v>
      </c>
      <c r="AJ254" s="18" t="str">
        <f>VLOOKUP(AH254,'Hess and Brezowsky'!$B$2:$G$31,3,FALSE)</f>
        <v>C</v>
      </c>
      <c r="AK254" s="13" t="str">
        <f>VLOOKUP(AH254,'Hess and Brezowsky'!$B$2:$G$31,4,FALSE)</f>
        <v>Cyclonic Westerly</v>
      </c>
      <c r="AL254" s="29">
        <v>0.29002314814814817</v>
      </c>
      <c r="AM254" s="29">
        <v>0.50421296296296292</v>
      </c>
      <c r="AN254" s="30">
        <v>0.71841435185185187</v>
      </c>
    </row>
    <row r="255" spans="1:40" ht="15.75" customHeight="1" x14ac:dyDescent="0.2">
      <c r="A255" s="27">
        <v>44975</v>
      </c>
      <c r="B255" s="13">
        <v>2023</v>
      </c>
      <c r="C255" s="13">
        <v>49</v>
      </c>
      <c r="D255" s="13">
        <f t="shared" si="8"/>
        <v>7</v>
      </c>
      <c r="E255" s="13"/>
      <c r="F255" s="13">
        <f t="shared" si="10"/>
        <v>2</v>
      </c>
      <c r="G255" s="14">
        <v>1</v>
      </c>
      <c r="H255" s="14">
        <v>0</v>
      </c>
      <c r="I255" s="14">
        <v>0</v>
      </c>
      <c r="J255" s="14">
        <v>0</v>
      </c>
      <c r="K255" s="14">
        <v>0</v>
      </c>
      <c r="L255" s="14">
        <v>1</v>
      </c>
      <c r="M255" s="15">
        <v>255.69900000000001</v>
      </c>
      <c r="N255" s="16" t="str">
        <f t="shared" si="9"/>
        <v>W</v>
      </c>
      <c r="O255" s="17">
        <v>8.8000000000000007</v>
      </c>
      <c r="P255" s="16" t="s">
        <v>140</v>
      </c>
      <c r="Q255" s="18">
        <v>0</v>
      </c>
      <c r="R255" s="19">
        <v>11.59</v>
      </c>
      <c r="S255" s="19">
        <v>10.7</v>
      </c>
      <c r="T255" s="19">
        <v>12.4</v>
      </c>
      <c r="U255" s="20">
        <v>255.22</v>
      </c>
      <c r="V255" s="16" t="s">
        <v>16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0.25</v>
      </c>
      <c r="AC255" s="21">
        <v>0.75</v>
      </c>
      <c r="AD255" s="21">
        <v>0</v>
      </c>
      <c r="AE255" s="21">
        <v>8.6300000000000008</v>
      </c>
      <c r="AF255" s="21">
        <v>8.5500000000000007</v>
      </c>
      <c r="AG255" s="21">
        <v>10.7</v>
      </c>
      <c r="AH255" s="18" t="s">
        <v>20</v>
      </c>
      <c r="AI255" s="13" t="str">
        <f>VLOOKUP(AH255,'Hess and Brezowsky'!$B$2:$G$31,2,FALSE)</f>
        <v>Mixed</v>
      </c>
      <c r="AJ255" s="18" t="str">
        <f>VLOOKUP(AH255,'Hess and Brezowsky'!$B$2:$G$31,3,FALSE)</f>
        <v>A</v>
      </c>
      <c r="AK255" s="13" t="str">
        <f>VLOOKUP(AH255,'Hess and Brezowsky'!$B$2:$G$31,4,FALSE)</f>
        <v>Anticyclonic North-Westerly</v>
      </c>
      <c r="AL255" s="29">
        <v>0.28878472222222223</v>
      </c>
      <c r="AM255" s="29">
        <v>0.50416666666666665</v>
      </c>
      <c r="AN255" s="30">
        <v>0.71956018518518516</v>
      </c>
    </row>
    <row r="256" spans="1:40" ht="15.75" customHeight="1" x14ac:dyDescent="0.2">
      <c r="A256" s="27">
        <v>44976</v>
      </c>
      <c r="B256" s="13">
        <v>2023</v>
      </c>
      <c r="C256" s="13">
        <v>50</v>
      </c>
      <c r="D256" s="13">
        <f t="shared" si="8"/>
        <v>1</v>
      </c>
      <c r="E256" s="13"/>
      <c r="F256" s="13">
        <f t="shared" si="10"/>
        <v>2</v>
      </c>
      <c r="G256" s="14">
        <v>1</v>
      </c>
      <c r="H256" s="14">
        <v>0</v>
      </c>
      <c r="I256" s="14">
        <v>0</v>
      </c>
      <c r="J256" s="14">
        <v>0</v>
      </c>
      <c r="K256" s="14">
        <v>0</v>
      </c>
      <c r="L256" s="14">
        <v>1</v>
      </c>
      <c r="M256" s="15">
        <v>286.286</v>
      </c>
      <c r="N256" s="16" t="str">
        <f t="shared" si="9"/>
        <v>W</v>
      </c>
      <c r="O256" s="17">
        <v>6.9</v>
      </c>
      <c r="P256" s="16" t="s">
        <v>137</v>
      </c>
      <c r="Q256" s="18">
        <v>0</v>
      </c>
      <c r="R256" s="19">
        <v>10.67</v>
      </c>
      <c r="S256" s="19">
        <v>6.9</v>
      </c>
      <c r="T256" s="19">
        <v>12.8</v>
      </c>
      <c r="U256" s="20">
        <v>281.29000000000002</v>
      </c>
      <c r="V256" s="16" t="s">
        <v>16</v>
      </c>
      <c r="W256" s="21">
        <v>0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0.83</v>
      </c>
      <c r="AD256" s="21">
        <v>0.17</v>
      </c>
      <c r="AE256" s="21">
        <v>7.12</v>
      </c>
      <c r="AF256" s="21">
        <v>6.96</v>
      </c>
      <c r="AG256" s="21">
        <v>12.7</v>
      </c>
      <c r="AH256" s="18" t="s">
        <v>20</v>
      </c>
      <c r="AI256" s="13" t="str">
        <f>VLOOKUP(AH256,'Hess and Brezowsky'!$B$2:$G$31,2,FALSE)</f>
        <v>Mixed</v>
      </c>
      <c r="AJ256" s="18" t="str">
        <f>VLOOKUP(AH256,'Hess and Brezowsky'!$B$2:$G$31,3,FALSE)</f>
        <v>A</v>
      </c>
      <c r="AK256" s="13" t="str">
        <f>VLOOKUP(AH256,'Hess and Brezowsky'!$B$2:$G$31,4,FALSE)</f>
        <v>Anticyclonic North-Westerly</v>
      </c>
      <c r="AL256" s="29">
        <v>0.28753472222222221</v>
      </c>
      <c r="AM256" s="29">
        <v>0.50412037037037039</v>
      </c>
      <c r="AN256" s="30">
        <v>0.72069444444444442</v>
      </c>
    </row>
    <row r="257" spans="1:40" ht="15.75" customHeight="1" x14ac:dyDescent="0.2">
      <c r="A257" s="27">
        <v>44977</v>
      </c>
      <c r="B257" s="13">
        <v>2023</v>
      </c>
      <c r="C257" s="13">
        <v>51</v>
      </c>
      <c r="D257" s="13">
        <f t="shared" si="8"/>
        <v>2</v>
      </c>
      <c r="E257" s="13"/>
      <c r="F257" s="13">
        <f t="shared" si="10"/>
        <v>2</v>
      </c>
      <c r="G257" s="14">
        <v>1</v>
      </c>
      <c r="H257" s="14">
        <v>0</v>
      </c>
      <c r="I257" s="14">
        <v>0</v>
      </c>
      <c r="J257" s="14">
        <v>0</v>
      </c>
      <c r="K257" s="14">
        <v>0</v>
      </c>
      <c r="L257" s="14">
        <v>1</v>
      </c>
      <c r="M257" s="15">
        <v>249.423</v>
      </c>
      <c r="N257" s="16" t="str">
        <f t="shared" si="9"/>
        <v>W</v>
      </c>
      <c r="O257" s="17">
        <v>5</v>
      </c>
      <c r="P257" s="16" t="s">
        <v>138</v>
      </c>
      <c r="Q257" s="18">
        <v>0</v>
      </c>
      <c r="R257" s="19">
        <v>8.0399999999999991</v>
      </c>
      <c r="S257" s="19">
        <v>3.7</v>
      </c>
      <c r="T257" s="19">
        <v>12.8</v>
      </c>
      <c r="U257" s="20">
        <v>242.93</v>
      </c>
      <c r="V257" s="16" t="s">
        <v>5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0.67</v>
      </c>
      <c r="AC257" s="21">
        <v>0.33</v>
      </c>
      <c r="AD257" s="21">
        <v>0</v>
      </c>
      <c r="AE257" s="21">
        <v>4.72</v>
      </c>
      <c r="AF257" s="21">
        <v>4.66</v>
      </c>
      <c r="AG257" s="21">
        <v>8.1</v>
      </c>
      <c r="AH257" s="18" t="s">
        <v>20</v>
      </c>
      <c r="AI257" s="13" t="str">
        <f>VLOOKUP(AH257,'Hess and Brezowsky'!$B$2:$G$31,2,FALSE)</f>
        <v>Mixed</v>
      </c>
      <c r="AJ257" s="18" t="str">
        <f>VLOOKUP(AH257,'Hess and Brezowsky'!$B$2:$G$31,3,FALSE)</f>
        <v>A</v>
      </c>
      <c r="AK257" s="13" t="str">
        <f>VLOOKUP(AH257,'Hess and Brezowsky'!$B$2:$G$31,4,FALSE)</f>
        <v>Anticyclonic North-Westerly</v>
      </c>
      <c r="AL257" s="29">
        <v>0.28627314814814814</v>
      </c>
      <c r="AM257" s="29">
        <v>0.50405092592592593</v>
      </c>
      <c r="AN257" s="30">
        <v>0.72182870370370367</v>
      </c>
    </row>
    <row r="258" spans="1:40" ht="15.75" customHeight="1" x14ac:dyDescent="0.2">
      <c r="A258" s="27">
        <v>44978</v>
      </c>
      <c r="B258" s="13">
        <v>2023</v>
      </c>
      <c r="C258" s="13">
        <v>52</v>
      </c>
      <c r="D258" s="13">
        <f t="shared" ref="D258:D321" si="11">WEEKDAY(A258)</f>
        <v>3</v>
      </c>
      <c r="E258" s="13"/>
      <c r="F258" s="13">
        <f t="shared" si="10"/>
        <v>2</v>
      </c>
      <c r="G258" s="14">
        <v>1</v>
      </c>
      <c r="H258" s="14">
        <v>0</v>
      </c>
      <c r="I258" s="14">
        <v>0</v>
      </c>
      <c r="J258" s="14">
        <v>0</v>
      </c>
      <c r="K258" s="14">
        <v>0</v>
      </c>
      <c r="L258" s="14">
        <v>1</v>
      </c>
      <c r="M258" s="15">
        <v>144.62100000000001</v>
      </c>
      <c r="N258" s="16" t="str">
        <f t="shared" ref="N258:N321" si="12">IF(AND(M258 &gt; 22.5,M258&lt;=67.6),"NE",IF(AND(M258 &gt; 67.5,M258&lt;=112.5),"E",IF(AND(M258 &gt; 112.5,M258&lt;=157.5),"SE",IF(AND(M258 &gt; 157.5,M258&lt;=202.5),"S",IF(AND(M258 &gt; 202.5,M258&lt;=247.5),"SW",IF(AND(M258 &gt; 247.5,M258&lt;=292.5),"W",IF(AND(M258 &gt; 292.5,M258&lt;=337.5),"NW",IF(AND(M258 &gt; 22.5,M258&lt;=360),"N","N"))))))))</f>
        <v>SE</v>
      </c>
      <c r="O258" s="17">
        <v>4.2</v>
      </c>
      <c r="P258" s="16" t="s">
        <v>137</v>
      </c>
      <c r="Q258" s="18">
        <v>0</v>
      </c>
      <c r="R258" s="19">
        <v>9.58</v>
      </c>
      <c r="S258" s="19">
        <v>3.5</v>
      </c>
      <c r="T258" s="19">
        <v>16.5</v>
      </c>
      <c r="U258" s="20">
        <v>148.19999999999999</v>
      </c>
      <c r="V258" s="16" t="s">
        <v>11</v>
      </c>
      <c r="W258" s="21">
        <v>0.04</v>
      </c>
      <c r="X258" s="21">
        <v>0.04</v>
      </c>
      <c r="Y258" s="21">
        <v>0.25</v>
      </c>
      <c r="Z258" s="21">
        <v>0.33</v>
      </c>
      <c r="AA258" s="21">
        <v>0.12</v>
      </c>
      <c r="AB258" s="21">
        <v>0.12</v>
      </c>
      <c r="AC258" s="21">
        <v>0.08</v>
      </c>
      <c r="AD258" s="21">
        <v>0</v>
      </c>
      <c r="AE258" s="21">
        <v>3.71</v>
      </c>
      <c r="AF258" s="21">
        <v>2.44</v>
      </c>
      <c r="AG258" s="21">
        <v>9.3000000000000007</v>
      </c>
      <c r="AH258" s="18" t="s">
        <v>29</v>
      </c>
      <c r="AI258" s="13" t="str">
        <f>VLOOKUP(AH258,'Hess and Brezowsky'!$B$2:$G$31,2,FALSE)</f>
        <v>Mixed</v>
      </c>
      <c r="AJ258" s="18" t="str">
        <f>VLOOKUP(AH258,'Hess and Brezowsky'!$B$2:$G$31,3,FALSE)</f>
        <v>C</v>
      </c>
      <c r="AK258" s="13" t="str">
        <f>VLOOKUP(AH258,'Hess and Brezowsky'!$B$2:$G$31,4,FALSE)</f>
        <v>Cyclonic North-Westerly</v>
      </c>
      <c r="AL258" s="29">
        <v>0.28499999999999998</v>
      </c>
      <c r="AM258" s="29">
        <v>0.50398148148148147</v>
      </c>
      <c r="AN258" s="30">
        <v>0.72296296296296292</v>
      </c>
    </row>
    <row r="259" spans="1:40" ht="15.75" customHeight="1" x14ac:dyDescent="0.2">
      <c r="A259" s="27">
        <v>44979</v>
      </c>
      <c r="B259" s="13">
        <v>2023</v>
      </c>
      <c r="C259" s="13">
        <v>53</v>
      </c>
      <c r="D259" s="13">
        <f t="shared" si="11"/>
        <v>4</v>
      </c>
      <c r="E259" s="13"/>
      <c r="F259" s="13">
        <f t="shared" si="10"/>
        <v>2</v>
      </c>
      <c r="G259" s="14">
        <v>1</v>
      </c>
      <c r="H259" s="14">
        <v>0</v>
      </c>
      <c r="I259" s="14">
        <v>0</v>
      </c>
      <c r="J259" s="14">
        <v>0</v>
      </c>
      <c r="K259" s="14">
        <v>0</v>
      </c>
      <c r="L259" s="14">
        <v>1</v>
      </c>
      <c r="M259" s="15">
        <v>250.303</v>
      </c>
      <c r="N259" s="16" t="str">
        <f t="shared" si="12"/>
        <v>W</v>
      </c>
      <c r="O259" s="17">
        <v>5.6</v>
      </c>
      <c r="P259" s="16" t="s">
        <v>140</v>
      </c>
      <c r="Q259" s="18">
        <v>0.2</v>
      </c>
      <c r="R259" s="19">
        <v>9.24</v>
      </c>
      <c r="S259" s="19">
        <v>8.3000000000000007</v>
      </c>
      <c r="T259" s="19">
        <v>10</v>
      </c>
      <c r="U259" s="20">
        <v>253.76</v>
      </c>
      <c r="V259" s="16" t="s">
        <v>16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0.5</v>
      </c>
      <c r="AC259" s="21">
        <v>0.42</v>
      </c>
      <c r="AD259" s="21">
        <v>0.08</v>
      </c>
      <c r="AE259" s="21">
        <v>5.25</v>
      </c>
      <c r="AF259" s="21">
        <v>4.8600000000000003</v>
      </c>
      <c r="AG259" s="21">
        <v>8.3000000000000007</v>
      </c>
      <c r="AH259" s="18" t="s">
        <v>29</v>
      </c>
      <c r="AI259" s="13" t="str">
        <f>VLOOKUP(AH259,'Hess and Brezowsky'!$B$2:$G$31,2,FALSE)</f>
        <v>Mixed</v>
      </c>
      <c r="AJ259" s="18" t="str">
        <f>VLOOKUP(AH259,'Hess and Brezowsky'!$B$2:$G$31,3,FALSE)</f>
        <v>C</v>
      </c>
      <c r="AK259" s="13" t="str">
        <f>VLOOKUP(AH259,'Hess and Brezowsky'!$B$2:$G$31,4,FALSE)</f>
        <v>Cyclonic North-Westerly</v>
      </c>
      <c r="AL259" s="29">
        <v>0.28371527777777777</v>
      </c>
      <c r="AM259" s="29">
        <v>0.50390046296296298</v>
      </c>
      <c r="AN259" s="30">
        <v>0.72409722222222217</v>
      </c>
    </row>
    <row r="260" spans="1:40" ht="15.75" customHeight="1" x14ac:dyDescent="0.2">
      <c r="A260" s="27">
        <v>44980</v>
      </c>
      <c r="B260" s="13">
        <v>2023</v>
      </c>
      <c r="C260" s="13">
        <v>54</v>
      </c>
      <c r="D260" s="13">
        <f t="shared" si="11"/>
        <v>5</v>
      </c>
      <c r="E260" s="13"/>
      <c r="F260" s="13">
        <f t="shared" si="10"/>
        <v>2</v>
      </c>
      <c r="G260" s="14">
        <v>1</v>
      </c>
      <c r="H260" s="14">
        <v>0</v>
      </c>
      <c r="I260" s="14">
        <v>0</v>
      </c>
      <c r="J260" s="14">
        <v>0</v>
      </c>
      <c r="K260" s="14">
        <v>0</v>
      </c>
      <c r="L260" s="14">
        <v>1</v>
      </c>
      <c r="M260" s="15">
        <v>29.640999999999998</v>
      </c>
      <c r="N260" s="16" t="str">
        <f t="shared" si="12"/>
        <v>NE</v>
      </c>
      <c r="O260" s="17">
        <v>5.5</v>
      </c>
      <c r="P260" s="16" t="s">
        <v>137</v>
      </c>
      <c r="Q260" s="18">
        <v>0</v>
      </c>
      <c r="R260" s="19">
        <v>8.77</v>
      </c>
      <c r="S260" s="19">
        <v>6.3</v>
      </c>
      <c r="T260" s="19">
        <v>10.7</v>
      </c>
      <c r="U260" s="20">
        <v>24.24</v>
      </c>
      <c r="V260" s="16" t="s">
        <v>10</v>
      </c>
      <c r="W260" s="21">
        <v>0.17</v>
      </c>
      <c r="X260" s="21">
        <v>0.57999999999999996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0.25</v>
      </c>
      <c r="AE260" s="21">
        <v>5.01</v>
      </c>
      <c r="AF260" s="21">
        <v>3.83</v>
      </c>
      <c r="AG260" s="21">
        <v>9.6</v>
      </c>
      <c r="AH260" s="18" t="s">
        <v>29</v>
      </c>
      <c r="AI260" s="13" t="str">
        <f>VLOOKUP(AH260,'Hess and Brezowsky'!$B$2:$G$31,2,FALSE)</f>
        <v>Mixed</v>
      </c>
      <c r="AJ260" s="18" t="str">
        <f>VLOOKUP(AH260,'Hess and Brezowsky'!$B$2:$G$31,3,FALSE)</f>
        <v>C</v>
      </c>
      <c r="AK260" s="13" t="str">
        <f>VLOOKUP(AH260,'Hess and Brezowsky'!$B$2:$G$31,4,FALSE)</f>
        <v>Cyclonic North-Westerly</v>
      </c>
      <c r="AL260" s="29">
        <v>0.28240740740740738</v>
      </c>
      <c r="AM260" s="29">
        <v>0.50381944444444449</v>
      </c>
      <c r="AN260" s="30">
        <v>0.72521990740740738</v>
      </c>
    </row>
    <row r="261" spans="1:40" ht="15.75" customHeight="1" x14ac:dyDescent="0.2">
      <c r="A261" s="27">
        <v>44981</v>
      </c>
      <c r="B261" s="13">
        <v>2023</v>
      </c>
      <c r="C261" s="13">
        <v>55</v>
      </c>
      <c r="D261" s="13">
        <f t="shared" si="11"/>
        <v>6</v>
      </c>
      <c r="E261" s="13"/>
      <c r="F261" s="13">
        <f t="shared" si="10"/>
        <v>3</v>
      </c>
      <c r="G261" s="14">
        <v>1</v>
      </c>
      <c r="H261" s="14">
        <v>0</v>
      </c>
      <c r="I261" s="14">
        <v>0.54</v>
      </c>
      <c r="J261" s="14">
        <v>0</v>
      </c>
      <c r="K261" s="14">
        <v>0</v>
      </c>
      <c r="L261" s="14">
        <v>1</v>
      </c>
      <c r="M261" s="15">
        <v>24.507999999999999</v>
      </c>
      <c r="N261" s="16" t="str">
        <f t="shared" si="12"/>
        <v>NE</v>
      </c>
      <c r="O261" s="17">
        <v>6.6</v>
      </c>
      <c r="P261" s="16" t="s">
        <v>137</v>
      </c>
      <c r="Q261" s="18">
        <v>0</v>
      </c>
      <c r="R261" s="19">
        <v>8.24</v>
      </c>
      <c r="S261" s="19">
        <v>6.4</v>
      </c>
      <c r="T261" s="19">
        <v>11.2</v>
      </c>
      <c r="U261" s="20">
        <v>23.4</v>
      </c>
      <c r="V261" s="16" t="s">
        <v>10</v>
      </c>
      <c r="W261" s="21">
        <v>0.62</v>
      </c>
      <c r="X261" s="21">
        <v>0.38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5.96</v>
      </c>
      <c r="AF261" s="21">
        <v>5.79</v>
      </c>
      <c r="AG261" s="21">
        <v>9.4</v>
      </c>
      <c r="AH261" s="18" t="s">
        <v>12</v>
      </c>
      <c r="AI261" s="13" t="str">
        <f>VLOOKUP(AH261,'Hess and Brezowsky'!$B$2:$G$31,2,FALSE)</f>
        <v>Undefined</v>
      </c>
      <c r="AJ261" s="18" t="str">
        <f>VLOOKUP(AH261,'Hess and Brezowsky'!$B$2:$G$31,3,FALSE)</f>
        <v>M</v>
      </c>
      <c r="AK261" s="13" t="str">
        <f>VLOOKUP(AH261,'Hess and Brezowsky'!$B$2:$G$31,4,FALSE)</f>
        <v>Transistion / Undefined</v>
      </c>
      <c r="AL261" s="29">
        <v>0.28109953703703705</v>
      </c>
      <c r="AM261" s="29">
        <v>0.5037152777777778</v>
      </c>
      <c r="AN261" s="30">
        <v>0.7263425925925926</v>
      </c>
    </row>
    <row r="262" spans="1:40" ht="15.75" customHeight="1" x14ac:dyDescent="0.2">
      <c r="A262" s="27">
        <v>44982</v>
      </c>
      <c r="B262" s="13">
        <v>2023</v>
      </c>
      <c r="C262" s="13">
        <v>56</v>
      </c>
      <c r="D262" s="13">
        <f t="shared" si="11"/>
        <v>7</v>
      </c>
      <c r="E262" s="13"/>
      <c r="F262" s="13">
        <f t="shared" si="10"/>
        <v>3</v>
      </c>
      <c r="G262" s="14">
        <v>1</v>
      </c>
      <c r="H262" s="14">
        <v>0</v>
      </c>
      <c r="I262" s="14">
        <v>1</v>
      </c>
      <c r="J262" s="14">
        <v>0</v>
      </c>
      <c r="K262" s="14">
        <v>0</v>
      </c>
      <c r="L262" s="14">
        <v>1</v>
      </c>
      <c r="M262" s="15">
        <v>27.029</v>
      </c>
      <c r="N262" s="16" t="str">
        <f t="shared" si="12"/>
        <v>NE</v>
      </c>
      <c r="O262" s="17">
        <v>8.3000000000000007</v>
      </c>
      <c r="P262" s="16" t="s">
        <v>137</v>
      </c>
      <c r="Q262" s="18">
        <v>0</v>
      </c>
      <c r="R262" s="19">
        <v>6.08</v>
      </c>
      <c r="S262" s="19">
        <v>3.3</v>
      </c>
      <c r="T262" s="19">
        <v>8.9</v>
      </c>
      <c r="U262" s="20">
        <v>22.78</v>
      </c>
      <c r="V262" s="16" t="s">
        <v>10</v>
      </c>
      <c r="W262" s="21">
        <v>0.54</v>
      </c>
      <c r="X262" s="21">
        <v>0.46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8.64</v>
      </c>
      <c r="AF262" s="21">
        <v>8.5299999999999994</v>
      </c>
      <c r="AG262" s="21">
        <v>13.9</v>
      </c>
      <c r="AH262" s="18" t="s">
        <v>24</v>
      </c>
      <c r="AI262" s="13" t="str">
        <f>VLOOKUP(AH262,'Hess and Brezowsky'!$B$2:$G$31,2,FALSE)</f>
        <v>Meridional</v>
      </c>
      <c r="AJ262" s="18" t="str">
        <f>VLOOKUP(AH262,'Hess and Brezowsky'!$B$2:$G$31,3,FALSE)</f>
        <v>A</v>
      </c>
      <c r="AK262" s="13" t="str">
        <f>VLOOKUP(AH262,'Hess and Brezowsky'!$B$2:$G$31,4,FALSE)</f>
        <v>Anticyclonic North-Easterly</v>
      </c>
      <c r="AL262" s="29">
        <v>0.27976851851851853</v>
      </c>
      <c r="AM262" s="29">
        <v>0.50361111111111112</v>
      </c>
      <c r="AN262" s="30">
        <v>0.72745370370370366</v>
      </c>
    </row>
    <row r="263" spans="1:40" ht="15.75" customHeight="1" x14ac:dyDescent="0.2">
      <c r="A263" s="27">
        <v>44983</v>
      </c>
      <c r="B263" s="13">
        <v>2023</v>
      </c>
      <c r="C263" s="13">
        <v>57</v>
      </c>
      <c r="D263" s="13">
        <f t="shared" si="11"/>
        <v>1</v>
      </c>
      <c r="E263" s="13"/>
      <c r="F263" s="13">
        <f t="shared" si="10"/>
        <v>3</v>
      </c>
      <c r="G263" s="14">
        <v>1</v>
      </c>
      <c r="H263" s="14">
        <v>0</v>
      </c>
      <c r="I263" s="14">
        <v>1</v>
      </c>
      <c r="J263" s="14">
        <v>0</v>
      </c>
      <c r="K263" s="14">
        <v>0</v>
      </c>
      <c r="L263" s="14">
        <v>1</v>
      </c>
      <c r="M263" s="15">
        <v>40.634999999999998</v>
      </c>
      <c r="N263" s="16" t="str">
        <f t="shared" si="12"/>
        <v>NE</v>
      </c>
      <c r="O263" s="17">
        <v>12.6</v>
      </c>
      <c r="P263" s="16" t="s">
        <v>138</v>
      </c>
      <c r="Q263" s="18">
        <v>0</v>
      </c>
      <c r="R263" s="19">
        <v>2.72</v>
      </c>
      <c r="S263" s="19">
        <v>0.4</v>
      </c>
      <c r="T263" s="19">
        <v>6.3</v>
      </c>
      <c r="U263" s="20">
        <v>39.590000000000003</v>
      </c>
      <c r="V263" s="16" t="s">
        <v>10</v>
      </c>
      <c r="W263" s="21">
        <v>0</v>
      </c>
      <c r="X263" s="21">
        <v>1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13.6</v>
      </c>
      <c r="AF263" s="21">
        <v>13.56</v>
      </c>
      <c r="AG263" s="21">
        <v>16.5</v>
      </c>
      <c r="AH263" s="18" t="s">
        <v>24</v>
      </c>
      <c r="AI263" s="13" t="str">
        <f>VLOOKUP(AH263,'Hess and Brezowsky'!$B$2:$G$31,2,FALSE)</f>
        <v>Meridional</v>
      </c>
      <c r="AJ263" s="18" t="str">
        <f>VLOOKUP(AH263,'Hess and Brezowsky'!$B$2:$G$31,3,FALSE)</f>
        <v>A</v>
      </c>
      <c r="AK263" s="13" t="str">
        <f>VLOOKUP(AH263,'Hess and Brezowsky'!$B$2:$G$31,4,FALSE)</f>
        <v>Anticyclonic North-Easterly</v>
      </c>
      <c r="AL263" s="29">
        <v>0.2784375</v>
      </c>
      <c r="AM263" s="29">
        <v>0.50350694444444444</v>
      </c>
      <c r="AN263" s="30">
        <v>0.72857638888888887</v>
      </c>
    </row>
    <row r="264" spans="1:40" ht="15.75" customHeight="1" x14ac:dyDescent="0.2">
      <c r="A264" s="27">
        <v>44984</v>
      </c>
      <c r="B264" s="13">
        <v>2023</v>
      </c>
      <c r="C264" s="13">
        <v>58</v>
      </c>
      <c r="D264" s="13">
        <f t="shared" si="11"/>
        <v>2</v>
      </c>
      <c r="E264" s="13"/>
      <c r="F264" s="13">
        <f t="shared" si="10"/>
        <v>3</v>
      </c>
      <c r="G264" s="14">
        <v>1</v>
      </c>
      <c r="H264" s="14">
        <v>0</v>
      </c>
      <c r="I264" s="14">
        <v>1</v>
      </c>
      <c r="J264" s="14">
        <v>0</v>
      </c>
      <c r="K264" s="14">
        <v>0</v>
      </c>
      <c r="L264" s="14">
        <v>1</v>
      </c>
      <c r="M264" s="15">
        <v>42.472000000000001</v>
      </c>
      <c r="N264" s="16" t="str">
        <f t="shared" si="12"/>
        <v>NE</v>
      </c>
      <c r="O264" s="17">
        <v>12.1</v>
      </c>
      <c r="P264" s="16" t="s">
        <v>139</v>
      </c>
      <c r="Q264" s="18">
        <v>0</v>
      </c>
      <c r="R264" s="19">
        <v>2.95</v>
      </c>
      <c r="S264" s="19">
        <v>-0.4</v>
      </c>
      <c r="T264" s="19">
        <v>7.6</v>
      </c>
      <c r="U264" s="20">
        <v>41.67</v>
      </c>
      <c r="V264" s="16" t="s">
        <v>10</v>
      </c>
      <c r="W264" s="21">
        <v>0</v>
      </c>
      <c r="X264" s="21">
        <v>1</v>
      </c>
      <c r="Y264" s="21">
        <v>0</v>
      </c>
      <c r="Z264" s="21">
        <v>0</v>
      </c>
      <c r="AA264" s="21">
        <v>0</v>
      </c>
      <c r="AB264" s="21">
        <v>0</v>
      </c>
      <c r="AC264" s="21">
        <v>0</v>
      </c>
      <c r="AD264" s="21">
        <v>0</v>
      </c>
      <c r="AE264" s="21">
        <v>12.63</v>
      </c>
      <c r="AF264" s="21">
        <v>12.58</v>
      </c>
      <c r="AG264" s="21">
        <v>17.5</v>
      </c>
      <c r="AH264" s="18" t="s">
        <v>24</v>
      </c>
      <c r="AI264" s="13" t="str">
        <f>VLOOKUP(AH264,'Hess and Brezowsky'!$B$2:$G$31,2,FALSE)</f>
        <v>Meridional</v>
      </c>
      <c r="AJ264" s="18" t="str">
        <f>VLOOKUP(AH264,'Hess and Brezowsky'!$B$2:$G$31,3,FALSE)</f>
        <v>A</v>
      </c>
      <c r="AK264" s="13" t="str">
        <f>VLOOKUP(AH264,'Hess and Brezowsky'!$B$2:$G$31,4,FALSE)</f>
        <v>Anticyclonic North-Easterly</v>
      </c>
      <c r="AL264" s="29">
        <v>0.27709490740740739</v>
      </c>
      <c r="AM264" s="29">
        <v>0.50339120370370372</v>
      </c>
      <c r="AN264" s="30">
        <v>0.72968750000000004</v>
      </c>
    </row>
    <row r="265" spans="1:40" ht="15.75" customHeight="1" x14ac:dyDescent="0.2">
      <c r="A265" s="27">
        <v>44985</v>
      </c>
      <c r="B265" s="13">
        <v>2023</v>
      </c>
      <c r="C265" s="13">
        <v>59</v>
      </c>
      <c r="D265" s="13">
        <f t="shared" si="11"/>
        <v>3</v>
      </c>
      <c r="E265" s="13"/>
      <c r="F265" s="13">
        <f t="shared" si="10"/>
        <v>3</v>
      </c>
      <c r="G265" s="14">
        <v>1</v>
      </c>
      <c r="H265" s="14">
        <v>0</v>
      </c>
      <c r="I265" s="14">
        <v>1</v>
      </c>
      <c r="J265" s="14">
        <v>0</v>
      </c>
      <c r="K265" s="14">
        <v>0</v>
      </c>
      <c r="L265" s="14">
        <v>1</v>
      </c>
      <c r="M265" s="15">
        <v>49.670999999999999</v>
      </c>
      <c r="N265" s="16" t="str">
        <f t="shared" si="12"/>
        <v>NE</v>
      </c>
      <c r="O265" s="17">
        <v>8.6999999999999993</v>
      </c>
      <c r="P265" s="16" t="s">
        <v>138</v>
      </c>
      <c r="Q265" s="18">
        <v>0</v>
      </c>
      <c r="R265" s="19">
        <v>2.5099999999999998</v>
      </c>
      <c r="S265" s="19">
        <v>-0.4</v>
      </c>
      <c r="T265" s="19">
        <v>5.9</v>
      </c>
      <c r="U265" s="20">
        <v>49.06</v>
      </c>
      <c r="V265" s="16" t="s">
        <v>10</v>
      </c>
      <c r="W265" s="21">
        <v>0</v>
      </c>
      <c r="X265" s="21">
        <v>1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8.81</v>
      </c>
      <c r="AF265" s="21">
        <v>8.74</v>
      </c>
      <c r="AG265" s="21">
        <v>14.2</v>
      </c>
      <c r="AH265" s="18" t="s">
        <v>24</v>
      </c>
      <c r="AI265" s="13" t="str">
        <f>VLOOKUP(AH265,'Hess and Brezowsky'!$B$2:$G$31,2,FALSE)</f>
        <v>Meridional</v>
      </c>
      <c r="AJ265" s="18" t="str">
        <f>VLOOKUP(AH265,'Hess and Brezowsky'!$B$2:$G$31,3,FALSE)</f>
        <v>A</v>
      </c>
      <c r="AK265" s="13" t="str">
        <f>VLOOKUP(AH265,'Hess and Brezowsky'!$B$2:$G$31,4,FALSE)</f>
        <v>Anticyclonic North-Easterly</v>
      </c>
      <c r="AL265" s="29">
        <v>0.27572916666666669</v>
      </c>
      <c r="AM265" s="29">
        <v>0.50326388888888884</v>
      </c>
      <c r="AN265" s="30">
        <v>0.73078703703703707</v>
      </c>
    </row>
    <row r="266" spans="1:40" ht="15.75" customHeight="1" x14ac:dyDescent="0.2">
      <c r="A266" s="27">
        <v>44986</v>
      </c>
      <c r="B266" s="13">
        <v>2023</v>
      </c>
      <c r="C266" s="13">
        <v>60</v>
      </c>
      <c r="D266" s="13">
        <f t="shared" si="11"/>
        <v>4</v>
      </c>
      <c r="E266" s="13"/>
      <c r="F266" s="13">
        <f t="shared" si="10"/>
        <v>3</v>
      </c>
      <c r="G266" s="14">
        <v>1</v>
      </c>
      <c r="H266" s="14">
        <v>0</v>
      </c>
      <c r="I266" s="14">
        <v>1</v>
      </c>
      <c r="J266" s="14">
        <v>0</v>
      </c>
      <c r="K266" s="14">
        <v>0</v>
      </c>
      <c r="L266" s="14">
        <v>1</v>
      </c>
      <c r="M266" s="15">
        <v>40.289000000000001</v>
      </c>
      <c r="N266" s="16" t="str">
        <f t="shared" si="12"/>
        <v>NE</v>
      </c>
      <c r="O266" s="17">
        <v>9</v>
      </c>
      <c r="P266" s="16" t="s">
        <v>138</v>
      </c>
      <c r="Q266" s="18">
        <v>0</v>
      </c>
      <c r="R266" s="19">
        <v>3.08</v>
      </c>
      <c r="S266" s="19">
        <v>-0.7</v>
      </c>
      <c r="T266" s="19">
        <v>8.1</v>
      </c>
      <c r="U266" s="20">
        <v>41.17</v>
      </c>
      <c r="V266" s="16" t="s">
        <v>10</v>
      </c>
      <c r="W266" s="21">
        <v>0.25</v>
      </c>
      <c r="X266" s="21">
        <v>0.75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9.2899999999999991</v>
      </c>
      <c r="AF266" s="21">
        <v>8.92</v>
      </c>
      <c r="AG266" s="21">
        <v>12.5</v>
      </c>
      <c r="AH266" s="18" t="s">
        <v>24</v>
      </c>
      <c r="AI266" s="13" t="str">
        <f>VLOOKUP(AH266,'Hess and Brezowsky'!$B$2:$G$31,2,FALSE)</f>
        <v>Meridional</v>
      </c>
      <c r="AJ266" s="18" t="str">
        <f>VLOOKUP(AH266,'Hess and Brezowsky'!$B$2:$G$31,3,FALSE)</f>
        <v>A</v>
      </c>
      <c r="AK266" s="13" t="str">
        <f>VLOOKUP(AH266,'Hess and Brezowsky'!$B$2:$G$31,4,FALSE)</f>
        <v>Anticyclonic North-Easterly</v>
      </c>
      <c r="AL266" s="29">
        <v>0.27436342592592594</v>
      </c>
      <c r="AM266" s="29">
        <v>0.50312500000000004</v>
      </c>
      <c r="AN266" s="30">
        <v>0.73189814814814813</v>
      </c>
    </row>
    <row r="267" spans="1:40" ht="15.75" customHeight="1" x14ac:dyDescent="0.2">
      <c r="A267" s="27">
        <v>44987</v>
      </c>
      <c r="B267" s="13">
        <v>2023</v>
      </c>
      <c r="C267" s="13">
        <v>61</v>
      </c>
      <c r="D267" s="13">
        <f t="shared" si="11"/>
        <v>5</v>
      </c>
      <c r="E267" s="13"/>
      <c r="F267" s="13">
        <f t="shared" si="10"/>
        <v>3</v>
      </c>
      <c r="G267" s="14">
        <v>1</v>
      </c>
      <c r="H267" s="14">
        <v>0</v>
      </c>
      <c r="I267" s="14">
        <v>1</v>
      </c>
      <c r="J267" s="14">
        <v>0</v>
      </c>
      <c r="K267" s="14">
        <v>0</v>
      </c>
      <c r="L267" s="14">
        <v>1</v>
      </c>
      <c r="M267" s="15">
        <v>27.88</v>
      </c>
      <c r="N267" s="16" t="str">
        <f t="shared" si="12"/>
        <v>NE</v>
      </c>
      <c r="O267" s="17">
        <v>6.5</v>
      </c>
      <c r="P267" s="16" t="s">
        <v>138</v>
      </c>
      <c r="Q267" s="18">
        <v>0</v>
      </c>
      <c r="R267" s="19">
        <v>4.63</v>
      </c>
      <c r="S267" s="19">
        <v>0.5</v>
      </c>
      <c r="T267" s="19">
        <v>9.6</v>
      </c>
      <c r="U267" s="20">
        <v>23.7</v>
      </c>
      <c r="V267" s="16" t="s">
        <v>10</v>
      </c>
      <c r="W267" s="21">
        <v>0.46</v>
      </c>
      <c r="X267" s="21">
        <v>0.54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6.32</v>
      </c>
      <c r="AF267" s="21">
        <v>6.05</v>
      </c>
      <c r="AG267" s="21">
        <v>11.1</v>
      </c>
      <c r="AH267" s="18" t="s">
        <v>14</v>
      </c>
      <c r="AI267" s="13" t="str">
        <f>VLOOKUP(AH267,'Hess and Brezowsky'!$B$2:$G$31,2,FALSE)</f>
        <v>Meridional</v>
      </c>
      <c r="AJ267" s="18" t="str">
        <f>VLOOKUP(AH267,'Hess and Brezowsky'!$B$2:$G$31,3,FALSE)</f>
        <v>A</v>
      </c>
      <c r="AK267" s="13" t="str">
        <f>VLOOKUP(AH267,'Hess and Brezowsky'!$B$2:$G$31,4,FALSE)</f>
        <v>High over the British Isles</v>
      </c>
      <c r="AL267" s="29">
        <v>0.2729861111111111</v>
      </c>
      <c r="AM267" s="29">
        <v>0.50298611111111113</v>
      </c>
      <c r="AN267" s="30">
        <v>0.73298611111111112</v>
      </c>
    </row>
    <row r="268" spans="1:40" ht="15.75" customHeight="1" x14ac:dyDescent="0.2">
      <c r="A268" s="27">
        <v>44988</v>
      </c>
      <c r="B268" s="13">
        <v>2023</v>
      </c>
      <c r="C268" s="13">
        <v>62</v>
      </c>
      <c r="D268" s="13">
        <f t="shared" si="11"/>
        <v>6</v>
      </c>
      <c r="E268" s="13"/>
      <c r="F268" s="13">
        <f t="shared" si="10"/>
        <v>3</v>
      </c>
      <c r="G268" s="14">
        <v>1</v>
      </c>
      <c r="H268" s="14">
        <v>0</v>
      </c>
      <c r="I268" s="14">
        <v>1</v>
      </c>
      <c r="J268" s="14">
        <v>0</v>
      </c>
      <c r="K268" s="14">
        <v>0</v>
      </c>
      <c r="L268" s="14">
        <v>1</v>
      </c>
      <c r="M268" s="15">
        <v>23.399000000000001</v>
      </c>
      <c r="N268" s="16" t="str">
        <f t="shared" si="12"/>
        <v>NE</v>
      </c>
      <c r="O268" s="17">
        <v>7.2</v>
      </c>
      <c r="P268" s="16" t="s">
        <v>138</v>
      </c>
      <c r="Q268" s="18">
        <v>0</v>
      </c>
      <c r="R268" s="19">
        <v>4.6500000000000004</v>
      </c>
      <c r="S268" s="19">
        <v>1.7</v>
      </c>
      <c r="T268" s="19">
        <v>10.1</v>
      </c>
      <c r="U268" s="20">
        <v>19.260000000000002</v>
      </c>
      <c r="V268" s="16" t="s">
        <v>7</v>
      </c>
      <c r="W268" s="21">
        <v>0.62</v>
      </c>
      <c r="X268" s="21">
        <v>0.38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6.62</v>
      </c>
      <c r="AF268" s="21">
        <v>6.53</v>
      </c>
      <c r="AG268" s="21">
        <v>12.9</v>
      </c>
      <c r="AH268" s="18" t="s">
        <v>14</v>
      </c>
      <c r="AI268" s="13" t="str">
        <f>VLOOKUP(AH268,'Hess and Brezowsky'!$B$2:$G$31,2,FALSE)</f>
        <v>Meridional</v>
      </c>
      <c r="AJ268" s="18" t="str">
        <f>VLOOKUP(AH268,'Hess and Brezowsky'!$B$2:$G$31,3,FALSE)</f>
        <v>A</v>
      </c>
      <c r="AK268" s="13" t="str">
        <f>VLOOKUP(AH268,'Hess and Brezowsky'!$B$2:$G$31,4,FALSE)</f>
        <v>High over the British Isles</v>
      </c>
      <c r="AL268" s="29">
        <v>0.27160879629629631</v>
      </c>
      <c r="AM268" s="29">
        <v>0.50284722222222222</v>
      </c>
      <c r="AN268" s="30">
        <v>0.73408564814814814</v>
      </c>
    </row>
    <row r="269" spans="1:40" ht="15.75" customHeight="1" x14ac:dyDescent="0.2">
      <c r="A269" s="27">
        <v>44989</v>
      </c>
      <c r="B269" s="13">
        <v>2023</v>
      </c>
      <c r="C269" s="13">
        <v>63</v>
      </c>
      <c r="D269" s="13">
        <f t="shared" si="11"/>
        <v>7</v>
      </c>
      <c r="E269" s="13"/>
      <c r="F269" s="13">
        <f t="shared" si="10"/>
        <v>3</v>
      </c>
      <c r="G269" s="14">
        <v>1</v>
      </c>
      <c r="H269" s="14">
        <v>0</v>
      </c>
      <c r="I269" s="14">
        <v>1</v>
      </c>
      <c r="J269" s="14">
        <v>0</v>
      </c>
      <c r="K269" s="14">
        <v>0</v>
      </c>
      <c r="L269" s="14">
        <v>1</v>
      </c>
      <c r="M269" s="15">
        <v>32.723999999999997</v>
      </c>
      <c r="N269" s="16" t="str">
        <f t="shared" si="12"/>
        <v>NE</v>
      </c>
      <c r="O269" s="17">
        <v>7</v>
      </c>
      <c r="P269" s="16" t="s">
        <v>140</v>
      </c>
      <c r="Q269" s="18">
        <v>0</v>
      </c>
      <c r="R269" s="19">
        <v>4.43</v>
      </c>
      <c r="S269" s="19">
        <v>1.4</v>
      </c>
      <c r="T269" s="19">
        <v>6.4</v>
      </c>
      <c r="U269" s="20">
        <v>30.54</v>
      </c>
      <c r="V269" s="16" t="s">
        <v>10</v>
      </c>
      <c r="W269" s="21">
        <v>0.21</v>
      </c>
      <c r="X269" s="21">
        <v>0.79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7.39</v>
      </c>
      <c r="AF269" s="21">
        <v>7.3</v>
      </c>
      <c r="AG269" s="21">
        <v>12.9</v>
      </c>
      <c r="AH269" s="18" t="s">
        <v>14</v>
      </c>
      <c r="AI269" s="13" t="str">
        <f>VLOOKUP(AH269,'Hess and Brezowsky'!$B$2:$G$31,2,FALSE)</f>
        <v>Meridional</v>
      </c>
      <c r="AJ269" s="18" t="str">
        <f>VLOOKUP(AH269,'Hess and Brezowsky'!$B$2:$G$31,3,FALSE)</f>
        <v>A</v>
      </c>
      <c r="AK269" s="13" t="str">
        <f>VLOOKUP(AH269,'Hess and Brezowsky'!$B$2:$G$31,4,FALSE)</f>
        <v>High over the British Isles</v>
      </c>
      <c r="AL269" s="29">
        <v>0.27020833333333333</v>
      </c>
      <c r="AM269" s="29">
        <v>0.50269675925925927</v>
      </c>
      <c r="AN269" s="30">
        <v>0.73517361111111112</v>
      </c>
    </row>
    <row r="270" spans="1:40" ht="15.75" customHeight="1" x14ac:dyDescent="0.2">
      <c r="A270" s="27">
        <v>44990</v>
      </c>
      <c r="B270" s="13">
        <v>2023</v>
      </c>
      <c r="C270" s="13">
        <v>64</v>
      </c>
      <c r="D270" s="13">
        <f t="shared" si="11"/>
        <v>1</v>
      </c>
      <c r="E270" s="13"/>
      <c r="F270" s="13">
        <f t="shared" si="10"/>
        <v>3</v>
      </c>
      <c r="G270" s="14">
        <v>1</v>
      </c>
      <c r="H270" s="14">
        <v>0</v>
      </c>
      <c r="I270" s="14">
        <v>1</v>
      </c>
      <c r="J270" s="14">
        <v>0</v>
      </c>
      <c r="K270" s="14">
        <v>0</v>
      </c>
      <c r="L270" s="14">
        <v>1</v>
      </c>
      <c r="M270" s="15">
        <v>349.14400000000001</v>
      </c>
      <c r="N270" s="16" t="str">
        <f t="shared" si="12"/>
        <v>N</v>
      </c>
      <c r="O270" s="17">
        <v>3.2</v>
      </c>
      <c r="P270" s="16" t="s">
        <v>140</v>
      </c>
      <c r="Q270" s="18">
        <v>0</v>
      </c>
      <c r="R270" s="19">
        <v>6.05</v>
      </c>
      <c r="S270" s="19">
        <v>5.0999999999999996</v>
      </c>
      <c r="T270" s="19">
        <v>6.8</v>
      </c>
      <c r="U270" s="20">
        <v>330.24</v>
      </c>
      <c r="V270" s="16" t="s">
        <v>6</v>
      </c>
      <c r="W270" s="21">
        <v>0.38</v>
      </c>
      <c r="X270" s="21">
        <v>0.04</v>
      </c>
      <c r="Y270" s="21">
        <v>0</v>
      </c>
      <c r="Z270" s="21">
        <v>0</v>
      </c>
      <c r="AA270" s="21">
        <v>0</v>
      </c>
      <c r="AB270" s="21">
        <v>0</v>
      </c>
      <c r="AC270" s="21">
        <v>0.17</v>
      </c>
      <c r="AD270" s="21">
        <v>0.42</v>
      </c>
      <c r="AE270" s="21">
        <v>2.91</v>
      </c>
      <c r="AF270" s="21">
        <v>2.33</v>
      </c>
      <c r="AG270" s="21">
        <v>4.8</v>
      </c>
      <c r="AH270" s="18" t="s">
        <v>40</v>
      </c>
      <c r="AI270" s="13" t="str">
        <f>VLOOKUP(AH270,'Hess and Brezowsky'!$B$2:$G$31,2,FALSE)</f>
        <v>Zonal</v>
      </c>
      <c r="AJ270" s="18" t="str">
        <f>VLOOKUP(AH270,'Hess and Brezowsky'!$B$2:$G$31,3,FALSE)</f>
        <v>M</v>
      </c>
      <c r="AK270" s="13" t="str">
        <f>VLOOKUP(AH270,'Hess and Brezowsky'!$B$2:$G$31,4,FALSE)</f>
        <v>South-Shifted Westerly</v>
      </c>
      <c r="AL270" s="29">
        <v>0.26880787037037035</v>
      </c>
      <c r="AM270" s="29">
        <v>0.50253472222222217</v>
      </c>
      <c r="AN270" s="30">
        <v>0.73626157407407411</v>
      </c>
    </row>
    <row r="271" spans="1:40" ht="15.75" customHeight="1" x14ac:dyDescent="0.2">
      <c r="A271" s="27">
        <v>44991</v>
      </c>
      <c r="B271" s="13">
        <v>2023</v>
      </c>
      <c r="C271" s="13">
        <v>65</v>
      </c>
      <c r="D271" s="13">
        <f t="shared" si="11"/>
        <v>2</v>
      </c>
      <c r="E271" s="13"/>
      <c r="F271" s="13">
        <f t="shared" si="10"/>
        <v>3</v>
      </c>
      <c r="G271" s="14">
        <v>1</v>
      </c>
      <c r="H271" s="14">
        <v>0</v>
      </c>
      <c r="I271" s="14">
        <v>1</v>
      </c>
      <c r="J271" s="14">
        <v>0</v>
      </c>
      <c r="K271" s="14">
        <v>0</v>
      </c>
      <c r="L271" s="14">
        <v>1</v>
      </c>
      <c r="M271" s="15">
        <v>269.14499999999998</v>
      </c>
      <c r="N271" s="16" t="str">
        <f t="shared" si="12"/>
        <v>W</v>
      </c>
      <c r="O271" s="17">
        <v>6.1</v>
      </c>
      <c r="P271" s="16" t="s">
        <v>137</v>
      </c>
      <c r="Q271" s="18">
        <v>0</v>
      </c>
      <c r="R271" s="19">
        <v>5.79</v>
      </c>
      <c r="S271" s="19">
        <v>3.7</v>
      </c>
      <c r="T271" s="19">
        <v>7.4</v>
      </c>
      <c r="U271" s="20">
        <v>264.92</v>
      </c>
      <c r="V271" s="16" t="s">
        <v>16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0.25</v>
      </c>
      <c r="AC271" s="21">
        <v>0.67</v>
      </c>
      <c r="AD271" s="21">
        <v>0.08</v>
      </c>
      <c r="AE271" s="21">
        <v>6.24</v>
      </c>
      <c r="AF271" s="21">
        <v>5.85</v>
      </c>
      <c r="AG271" s="21">
        <v>9.6</v>
      </c>
      <c r="AH271" s="18" t="s">
        <v>40</v>
      </c>
      <c r="AI271" s="13" t="str">
        <f>VLOOKUP(AH271,'Hess and Brezowsky'!$B$2:$G$31,2,FALSE)</f>
        <v>Zonal</v>
      </c>
      <c r="AJ271" s="18" t="str">
        <f>VLOOKUP(AH271,'Hess and Brezowsky'!$B$2:$G$31,3,FALSE)</f>
        <v>M</v>
      </c>
      <c r="AK271" s="13" t="str">
        <f>VLOOKUP(AH271,'Hess and Brezowsky'!$B$2:$G$31,4,FALSE)</f>
        <v>South-Shifted Westerly</v>
      </c>
      <c r="AL271" s="29">
        <v>0.26740740740740743</v>
      </c>
      <c r="AM271" s="29">
        <v>0.50237268518518519</v>
      </c>
      <c r="AN271" s="30">
        <v>0.73734953703703698</v>
      </c>
    </row>
    <row r="272" spans="1:40" ht="15.75" customHeight="1" x14ac:dyDescent="0.2">
      <c r="A272" s="27">
        <v>44992</v>
      </c>
      <c r="B272" s="13">
        <v>2023</v>
      </c>
      <c r="C272" s="13">
        <v>66</v>
      </c>
      <c r="D272" s="13">
        <f t="shared" si="11"/>
        <v>3</v>
      </c>
      <c r="E272" s="13"/>
      <c r="F272" s="13">
        <f t="shared" si="10"/>
        <v>3</v>
      </c>
      <c r="G272" s="14">
        <v>1</v>
      </c>
      <c r="H272" s="14">
        <v>0</v>
      </c>
      <c r="I272" s="14">
        <v>1</v>
      </c>
      <c r="J272" s="14">
        <v>0</v>
      </c>
      <c r="K272" s="14">
        <v>0</v>
      </c>
      <c r="L272" s="14">
        <v>1</v>
      </c>
      <c r="M272" s="15">
        <v>235.07400000000001</v>
      </c>
      <c r="N272" s="16" t="str">
        <f t="shared" si="12"/>
        <v>SW</v>
      </c>
      <c r="O272" s="17">
        <v>8.6999999999999993</v>
      </c>
      <c r="P272" s="16" t="s">
        <v>137</v>
      </c>
      <c r="Q272" s="18">
        <v>2.2000000000000002</v>
      </c>
      <c r="R272" s="19">
        <v>6.84</v>
      </c>
      <c r="S272" s="19">
        <v>4.5999999999999996</v>
      </c>
      <c r="T272" s="19">
        <v>9.6</v>
      </c>
      <c r="U272" s="20">
        <v>233.83</v>
      </c>
      <c r="V272" s="16" t="s">
        <v>5</v>
      </c>
      <c r="W272" s="21">
        <v>0</v>
      </c>
      <c r="X272" s="21">
        <v>0</v>
      </c>
      <c r="Y272" s="21">
        <v>0</v>
      </c>
      <c r="Z272" s="21">
        <v>0</v>
      </c>
      <c r="AA272" s="21">
        <v>0.08</v>
      </c>
      <c r="AB272" s="21">
        <v>0.92</v>
      </c>
      <c r="AC272" s="21">
        <v>0</v>
      </c>
      <c r="AD272" s="21">
        <v>0</v>
      </c>
      <c r="AE272" s="21">
        <v>8.33</v>
      </c>
      <c r="AF272" s="21">
        <v>8.09</v>
      </c>
      <c r="AG272" s="21">
        <v>12.2</v>
      </c>
      <c r="AH272" s="18" t="s">
        <v>40</v>
      </c>
      <c r="AI272" s="13" t="str">
        <f>VLOOKUP(AH272,'Hess and Brezowsky'!$B$2:$G$31,2,FALSE)</f>
        <v>Zonal</v>
      </c>
      <c r="AJ272" s="18" t="str">
        <f>VLOOKUP(AH272,'Hess and Brezowsky'!$B$2:$G$31,3,FALSE)</f>
        <v>M</v>
      </c>
      <c r="AK272" s="13" t="str">
        <f>VLOOKUP(AH272,'Hess and Brezowsky'!$B$2:$G$31,4,FALSE)</f>
        <v>South-Shifted Westerly</v>
      </c>
      <c r="AL272" s="29">
        <v>0.26598379629629632</v>
      </c>
      <c r="AM272" s="29">
        <v>0.5022106481481482</v>
      </c>
      <c r="AN272" s="30">
        <v>0.73842592592592593</v>
      </c>
    </row>
    <row r="273" spans="1:40" ht="15.75" customHeight="1" x14ac:dyDescent="0.2">
      <c r="A273" s="27">
        <v>44993</v>
      </c>
      <c r="B273" s="13">
        <v>2023</v>
      </c>
      <c r="C273" s="13">
        <v>67</v>
      </c>
      <c r="D273" s="13">
        <f t="shared" si="11"/>
        <v>4</v>
      </c>
      <c r="E273" s="13"/>
      <c r="F273" s="13">
        <f t="shared" si="10"/>
        <v>3</v>
      </c>
      <c r="G273" s="14">
        <v>1</v>
      </c>
      <c r="H273" s="14">
        <v>0</v>
      </c>
      <c r="I273" s="14">
        <v>1</v>
      </c>
      <c r="J273" s="14">
        <v>0</v>
      </c>
      <c r="K273" s="14">
        <v>0</v>
      </c>
      <c r="L273" s="14">
        <v>1</v>
      </c>
      <c r="M273" s="15">
        <v>225.19</v>
      </c>
      <c r="N273" s="16" t="str">
        <f t="shared" si="12"/>
        <v>SW</v>
      </c>
      <c r="O273" s="17">
        <v>12.1</v>
      </c>
      <c r="P273" s="16" t="s">
        <v>137</v>
      </c>
      <c r="Q273" s="18">
        <v>31.2</v>
      </c>
      <c r="R273" s="19">
        <v>10.29</v>
      </c>
      <c r="S273" s="19">
        <v>5.3</v>
      </c>
      <c r="T273" s="19">
        <v>15.1</v>
      </c>
      <c r="U273" s="20">
        <v>225.82</v>
      </c>
      <c r="V273" s="16" t="s">
        <v>5</v>
      </c>
      <c r="W273" s="21">
        <v>0</v>
      </c>
      <c r="X273" s="21">
        <v>0</v>
      </c>
      <c r="Y273" s="21">
        <v>0</v>
      </c>
      <c r="Z273" s="21">
        <v>0</v>
      </c>
      <c r="AA273" s="21">
        <v>0.25</v>
      </c>
      <c r="AB273" s="21">
        <v>0.67</v>
      </c>
      <c r="AC273" s="21">
        <v>0.08</v>
      </c>
      <c r="AD273" s="21">
        <v>0</v>
      </c>
      <c r="AE273" s="21">
        <v>12.91</v>
      </c>
      <c r="AF273" s="21">
        <v>11.86</v>
      </c>
      <c r="AG273" s="21">
        <v>20</v>
      </c>
      <c r="AH273" s="18" t="s">
        <v>40</v>
      </c>
      <c r="AI273" s="13" t="str">
        <f>VLOOKUP(AH273,'Hess and Brezowsky'!$B$2:$G$31,2,FALSE)</f>
        <v>Zonal</v>
      </c>
      <c r="AJ273" s="18" t="str">
        <f>VLOOKUP(AH273,'Hess and Brezowsky'!$B$2:$G$31,3,FALSE)</f>
        <v>M</v>
      </c>
      <c r="AK273" s="13" t="str">
        <f>VLOOKUP(AH273,'Hess and Brezowsky'!$B$2:$G$31,4,FALSE)</f>
        <v>South-Shifted Westerly</v>
      </c>
      <c r="AL273" s="29">
        <v>0.26457175925925924</v>
      </c>
      <c r="AM273" s="29">
        <v>0.50203703703703706</v>
      </c>
      <c r="AN273" s="30">
        <v>0.73950231481481477</v>
      </c>
    </row>
    <row r="274" spans="1:40" ht="15.75" customHeight="1" x14ac:dyDescent="0.2">
      <c r="A274" s="27">
        <v>44994</v>
      </c>
      <c r="B274" s="13">
        <v>2023</v>
      </c>
      <c r="C274" s="13">
        <v>68</v>
      </c>
      <c r="D274" s="13">
        <f t="shared" si="11"/>
        <v>5</v>
      </c>
      <c r="E274" s="13"/>
      <c r="F274" s="13">
        <f t="shared" si="10"/>
        <v>3</v>
      </c>
      <c r="G274" s="14">
        <v>1</v>
      </c>
      <c r="H274" s="14">
        <v>0</v>
      </c>
      <c r="I274" s="14">
        <v>1</v>
      </c>
      <c r="J274" s="14">
        <v>0</v>
      </c>
      <c r="K274" s="14">
        <v>0</v>
      </c>
      <c r="L274" s="14">
        <v>1</v>
      </c>
      <c r="M274" s="15">
        <v>223.148</v>
      </c>
      <c r="N274" s="16" t="str">
        <f t="shared" si="12"/>
        <v>SW</v>
      </c>
      <c r="O274" s="17">
        <v>12.3</v>
      </c>
      <c r="P274" s="16" t="s">
        <v>137</v>
      </c>
      <c r="Q274" s="18">
        <v>5</v>
      </c>
      <c r="R274" s="19">
        <v>11.93</v>
      </c>
      <c r="S274" s="19">
        <v>9</v>
      </c>
      <c r="T274" s="19">
        <v>15.3</v>
      </c>
      <c r="U274" s="20">
        <v>222.28</v>
      </c>
      <c r="V274" s="16" t="s">
        <v>5</v>
      </c>
      <c r="W274" s="21">
        <v>0</v>
      </c>
      <c r="X274" s="21">
        <v>0</v>
      </c>
      <c r="Y274" s="21">
        <v>0</v>
      </c>
      <c r="Z274" s="21">
        <v>0</v>
      </c>
      <c r="AA274" s="21">
        <v>0.08</v>
      </c>
      <c r="AB274" s="21">
        <v>0.88</v>
      </c>
      <c r="AC274" s="21">
        <v>0.04</v>
      </c>
      <c r="AD274" s="21">
        <v>0</v>
      </c>
      <c r="AE274" s="21">
        <v>11.74</v>
      </c>
      <c r="AF274" s="21">
        <v>11.37</v>
      </c>
      <c r="AG274" s="21">
        <v>18.399999999999999</v>
      </c>
      <c r="AH274" s="18" t="s">
        <v>40</v>
      </c>
      <c r="AI274" s="13" t="str">
        <f>VLOOKUP(AH274,'Hess and Brezowsky'!$B$2:$G$31,2,FALSE)</f>
        <v>Zonal</v>
      </c>
      <c r="AJ274" s="18" t="str">
        <f>VLOOKUP(AH274,'Hess and Brezowsky'!$B$2:$G$31,3,FALSE)</f>
        <v>M</v>
      </c>
      <c r="AK274" s="13" t="str">
        <f>VLOOKUP(AH274,'Hess and Brezowsky'!$B$2:$G$31,4,FALSE)</f>
        <v>South-Shifted Westerly</v>
      </c>
      <c r="AL274" s="29">
        <v>0.26313657407407409</v>
      </c>
      <c r="AM274" s="29">
        <v>0.50185185185185188</v>
      </c>
      <c r="AN274" s="30">
        <v>0.74057870370370371</v>
      </c>
    </row>
    <row r="275" spans="1:40" ht="15.75" customHeight="1" x14ac:dyDescent="0.2">
      <c r="A275" s="27">
        <v>44995</v>
      </c>
      <c r="B275" s="13">
        <v>2023</v>
      </c>
      <c r="C275" s="13">
        <v>69</v>
      </c>
      <c r="D275" s="13">
        <f t="shared" si="11"/>
        <v>6</v>
      </c>
      <c r="E275" s="13"/>
      <c r="F275" s="13">
        <f t="shared" si="10"/>
        <v>3</v>
      </c>
      <c r="G275" s="14">
        <v>1</v>
      </c>
      <c r="H275" s="14">
        <v>0</v>
      </c>
      <c r="I275" s="14">
        <v>1</v>
      </c>
      <c r="J275" s="14">
        <v>0</v>
      </c>
      <c r="K275" s="14">
        <v>0</v>
      </c>
      <c r="L275" s="14">
        <v>1</v>
      </c>
      <c r="M275" s="15">
        <v>266.84399999999999</v>
      </c>
      <c r="N275" s="16" t="str">
        <f t="shared" si="12"/>
        <v>W</v>
      </c>
      <c r="O275" s="17">
        <v>12.1</v>
      </c>
      <c r="P275" s="16" t="s">
        <v>137</v>
      </c>
      <c r="Q275" s="18">
        <v>2.2000000000000002</v>
      </c>
      <c r="R275" s="19">
        <v>7.69</v>
      </c>
      <c r="S275" s="19">
        <v>4.3</v>
      </c>
      <c r="T275" s="19">
        <v>10.9</v>
      </c>
      <c r="U275" s="20">
        <v>262.07</v>
      </c>
      <c r="V275" s="16" t="s">
        <v>16</v>
      </c>
      <c r="W275" s="21">
        <v>0.04</v>
      </c>
      <c r="X275" s="21">
        <v>0.08</v>
      </c>
      <c r="Y275" s="21">
        <v>0</v>
      </c>
      <c r="Z275" s="21">
        <v>0</v>
      </c>
      <c r="AA275" s="21">
        <v>0</v>
      </c>
      <c r="AB275" s="21">
        <v>0.28999999999999998</v>
      </c>
      <c r="AC275" s="21">
        <v>0.46</v>
      </c>
      <c r="AD275" s="21">
        <v>0.12</v>
      </c>
      <c r="AE275" s="21">
        <v>13.37</v>
      </c>
      <c r="AF275" s="21">
        <v>11.84</v>
      </c>
      <c r="AG275" s="21">
        <v>23.7</v>
      </c>
      <c r="AH275" s="18" t="s">
        <v>40</v>
      </c>
      <c r="AI275" s="13" t="str">
        <f>VLOOKUP(AH275,'Hess and Brezowsky'!$B$2:$G$31,2,FALSE)</f>
        <v>Zonal</v>
      </c>
      <c r="AJ275" s="18" t="str">
        <f>VLOOKUP(AH275,'Hess and Brezowsky'!$B$2:$G$31,3,FALSE)</f>
        <v>M</v>
      </c>
      <c r="AK275" s="13" t="str">
        <f>VLOOKUP(AH275,'Hess and Brezowsky'!$B$2:$G$31,4,FALSE)</f>
        <v>South-Shifted Westerly</v>
      </c>
      <c r="AL275" s="29">
        <v>0.26170138888888889</v>
      </c>
      <c r="AM275" s="29">
        <v>0.50167824074074074</v>
      </c>
      <c r="AN275" s="30">
        <v>0.74164351851851851</v>
      </c>
    </row>
    <row r="276" spans="1:40" ht="15.75" customHeight="1" x14ac:dyDescent="0.2">
      <c r="A276" s="27">
        <v>44996</v>
      </c>
      <c r="B276" s="13">
        <v>2023</v>
      </c>
      <c r="C276" s="13">
        <v>70</v>
      </c>
      <c r="D276" s="13">
        <f t="shared" si="11"/>
        <v>7</v>
      </c>
      <c r="E276" s="13"/>
      <c r="F276" s="13">
        <f t="shared" si="10"/>
        <v>3</v>
      </c>
      <c r="G276" s="14">
        <v>1</v>
      </c>
      <c r="H276" s="14">
        <v>0</v>
      </c>
      <c r="I276" s="14">
        <v>1</v>
      </c>
      <c r="J276" s="14">
        <v>0</v>
      </c>
      <c r="K276" s="14">
        <v>0</v>
      </c>
      <c r="L276" s="14">
        <v>1</v>
      </c>
      <c r="M276" s="15">
        <v>145.90100000000001</v>
      </c>
      <c r="N276" s="16" t="str">
        <f t="shared" si="12"/>
        <v>SE</v>
      </c>
      <c r="O276" s="17">
        <v>4.9000000000000004</v>
      </c>
      <c r="P276" s="16" t="s">
        <v>137</v>
      </c>
      <c r="Q276" s="18">
        <v>0.8</v>
      </c>
      <c r="R276" s="19">
        <v>6.37</v>
      </c>
      <c r="S276" s="19">
        <v>3.5</v>
      </c>
      <c r="T276" s="19">
        <v>8.8000000000000007</v>
      </c>
      <c r="U276" s="20">
        <v>150.65</v>
      </c>
      <c r="V276" s="16" t="s">
        <v>11</v>
      </c>
      <c r="W276" s="21">
        <v>0</v>
      </c>
      <c r="X276" s="21">
        <v>0</v>
      </c>
      <c r="Y276" s="21">
        <v>0.25</v>
      </c>
      <c r="Z276" s="21">
        <v>0.38</v>
      </c>
      <c r="AA276" s="21">
        <v>0.28999999999999998</v>
      </c>
      <c r="AB276" s="21">
        <v>0.08</v>
      </c>
      <c r="AC276" s="21">
        <v>0</v>
      </c>
      <c r="AD276" s="21">
        <v>0</v>
      </c>
      <c r="AE276" s="21">
        <v>4.72</v>
      </c>
      <c r="AF276" s="21">
        <v>3.23</v>
      </c>
      <c r="AG276" s="21">
        <v>12.8</v>
      </c>
      <c r="AH276" s="18" t="s">
        <v>40</v>
      </c>
      <c r="AI276" s="13" t="str">
        <f>VLOOKUP(AH276,'Hess and Brezowsky'!$B$2:$G$31,2,FALSE)</f>
        <v>Zonal</v>
      </c>
      <c r="AJ276" s="18" t="str">
        <f>VLOOKUP(AH276,'Hess and Brezowsky'!$B$2:$G$31,3,FALSE)</f>
        <v>M</v>
      </c>
      <c r="AK276" s="13" t="str">
        <f>VLOOKUP(AH276,'Hess and Brezowsky'!$B$2:$G$31,4,FALSE)</f>
        <v>South-Shifted Westerly</v>
      </c>
      <c r="AL276" s="29">
        <v>0.26026620370370368</v>
      </c>
      <c r="AM276" s="29">
        <v>0.50149305555555557</v>
      </c>
      <c r="AN276" s="30">
        <v>0.7427083333333333</v>
      </c>
    </row>
    <row r="277" spans="1:40" ht="15.75" customHeight="1" x14ac:dyDescent="0.2">
      <c r="A277" s="27">
        <v>44997</v>
      </c>
      <c r="B277" s="13">
        <v>2023</v>
      </c>
      <c r="C277" s="13">
        <v>71</v>
      </c>
      <c r="D277" s="13">
        <f t="shared" si="11"/>
        <v>1</v>
      </c>
      <c r="E277" s="13"/>
      <c r="F277" s="13">
        <f t="shared" si="10"/>
        <v>3</v>
      </c>
      <c r="G277" s="14">
        <v>1</v>
      </c>
      <c r="H277" s="14">
        <v>0</v>
      </c>
      <c r="I277" s="14">
        <v>1</v>
      </c>
      <c r="J277" s="14">
        <v>0</v>
      </c>
      <c r="K277" s="14">
        <v>0</v>
      </c>
      <c r="L277" s="14">
        <v>1</v>
      </c>
      <c r="M277" s="15">
        <v>238.65899999999999</v>
      </c>
      <c r="N277" s="16" t="str">
        <f t="shared" si="12"/>
        <v>SW</v>
      </c>
      <c r="O277" s="17">
        <v>9.9</v>
      </c>
      <c r="P277" s="16" t="s">
        <v>137</v>
      </c>
      <c r="Q277" s="18">
        <v>1.6</v>
      </c>
      <c r="R277" s="19">
        <v>11.73</v>
      </c>
      <c r="S277" s="19">
        <v>8.4</v>
      </c>
      <c r="T277" s="19">
        <v>15.3</v>
      </c>
      <c r="U277" s="20">
        <v>241.04</v>
      </c>
      <c r="V277" s="16" t="s">
        <v>5</v>
      </c>
      <c r="W277" s="21">
        <v>0</v>
      </c>
      <c r="X277" s="21">
        <v>0</v>
      </c>
      <c r="Y277" s="21">
        <v>0</v>
      </c>
      <c r="Z277" s="21">
        <v>0</v>
      </c>
      <c r="AA277" s="21">
        <v>0.17</v>
      </c>
      <c r="AB277" s="21">
        <v>0.28999999999999998</v>
      </c>
      <c r="AC277" s="21">
        <v>0.54</v>
      </c>
      <c r="AD277" s="21">
        <v>0</v>
      </c>
      <c r="AE277" s="21">
        <v>10.49</v>
      </c>
      <c r="AF277" s="21">
        <v>9.4499999999999993</v>
      </c>
      <c r="AG277" s="21">
        <v>16.5</v>
      </c>
      <c r="AH277" s="18" t="s">
        <v>28</v>
      </c>
      <c r="AI277" s="13" t="str">
        <f>VLOOKUP(AH277,'Hess and Brezowsky'!$B$2:$G$31,2,FALSE)</f>
        <v>Zonal</v>
      </c>
      <c r="AJ277" s="18" t="str">
        <f>VLOOKUP(AH277,'Hess and Brezowsky'!$B$2:$G$31,3,FALSE)</f>
        <v>C</v>
      </c>
      <c r="AK277" s="13" t="str">
        <f>VLOOKUP(AH277,'Hess and Brezowsky'!$B$2:$G$31,4,FALSE)</f>
        <v>Cyclonic Westerly</v>
      </c>
      <c r="AL277" s="29">
        <v>0.25881944444444444</v>
      </c>
      <c r="AM277" s="29">
        <v>0.50129629629629635</v>
      </c>
      <c r="AN277" s="30">
        <v>0.7437731481481481</v>
      </c>
    </row>
    <row r="278" spans="1:40" ht="15.75" customHeight="1" x14ac:dyDescent="0.2">
      <c r="A278" s="27">
        <v>44998</v>
      </c>
      <c r="B278" s="13">
        <v>2023</v>
      </c>
      <c r="C278" s="13">
        <v>72</v>
      </c>
      <c r="D278" s="13">
        <f t="shared" si="11"/>
        <v>2</v>
      </c>
      <c r="E278" s="13"/>
      <c r="F278" s="13">
        <f t="shared" si="10"/>
        <v>3</v>
      </c>
      <c r="G278" s="14">
        <v>1</v>
      </c>
      <c r="H278" s="14">
        <v>0</v>
      </c>
      <c r="I278" s="14">
        <v>1</v>
      </c>
      <c r="J278" s="14">
        <v>0</v>
      </c>
      <c r="K278" s="14">
        <v>0</v>
      </c>
      <c r="L278" s="14">
        <v>1</v>
      </c>
      <c r="M278" s="15">
        <v>219.01599999999999</v>
      </c>
      <c r="N278" s="16" t="str">
        <f t="shared" si="12"/>
        <v>SW</v>
      </c>
      <c r="O278" s="17">
        <v>13.3</v>
      </c>
      <c r="P278" s="16" t="s">
        <v>137</v>
      </c>
      <c r="Q278" s="18">
        <v>0.2</v>
      </c>
      <c r="R278" s="19">
        <v>13.46</v>
      </c>
      <c r="S278" s="19">
        <v>10.8</v>
      </c>
      <c r="T278" s="19">
        <v>15.9</v>
      </c>
      <c r="U278" s="20">
        <v>216.63</v>
      </c>
      <c r="V278" s="16" t="s">
        <v>5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1</v>
      </c>
      <c r="AC278" s="21">
        <v>0</v>
      </c>
      <c r="AD278" s="21">
        <v>0</v>
      </c>
      <c r="AE278" s="21">
        <v>11.49</v>
      </c>
      <c r="AF278" s="21">
        <v>11.4</v>
      </c>
      <c r="AG278" s="21">
        <v>15.1</v>
      </c>
      <c r="AH278" s="18" t="s">
        <v>28</v>
      </c>
      <c r="AI278" s="13" t="str">
        <f>VLOOKUP(AH278,'Hess and Brezowsky'!$B$2:$G$31,2,FALSE)</f>
        <v>Zonal</v>
      </c>
      <c r="AJ278" s="18" t="str">
        <f>VLOOKUP(AH278,'Hess and Brezowsky'!$B$2:$G$31,3,FALSE)</f>
        <v>C</v>
      </c>
      <c r="AK278" s="13" t="str">
        <f>VLOOKUP(AH278,'Hess and Brezowsky'!$B$2:$G$31,4,FALSE)</f>
        <v>Cyclonic Westerly</v>
      </c>
      <c r="AL278" s="29">
        <v>0.25737268518518519</v>
      </c>
      <c r="AM278" s="29">
        <v>0.50109953703703702</v>
      </c>
      <c r="AN278" s="30">
        <v>0.74483796296296301</v>
      </c>
    </row>
    <row r="279" spans="1:40" ht="15.75" customHeight="1" x14ac:dyDescent="0.2">
      <c r="A279" s="27">
        <v>44999</v>
      </c>
      <c r="B279" s="13">
        <v>2023</v>
      </c>
      <c r="C279" s="13">
        <v>73</v>
      </c>
      <c r="D279" s="13">
        <f t="shared" si="11"/>
        <v>3</v>
      </c>
      <c r="E279" s="13"/>
      <c r="F279" s="13">
        <f t="shared" si="10"/>
        <v>3</v>
      </c>
      <c r="G279" s="14">
        <v>1</v>
      </c>
      <c r="H279" s="14">
        <v>0</v>
      </c>
      <c r="I279" s="14">
        <v>1</v>
      </c>
      <c r="J279" s="14">
        <v>0</v>
      </c>
      <c r="K279" s="14">
        <v>0</v>
      </c>
      <c r="L279" s="14">
        <v>1</v>
      </c>
      <c r="M279" s="15">
        <v>277.32499999999999</v>
      </c>
      <c r="N279" s="16" t="str">
        <f t="shared" si="12"/>
        <v>W</v>
      </c>
      <c r="O279" s="17">
        <v>10.8</v>
      </c>
      <c r="P279" s="16" t="s">
        <v>137</v>
      </c>
      <c r="Q279" s="18">
        <v>2.2000000000000002</v>
      </c>
      <c r="R279" s="19">
        <v>8.65</v>
      </c>
      <c r="S279" s="19">
        <v>4.7</v>
      </c>
      <c r="T279" s="19">
        <v>11.9</v>
      </c>
      <c r="U279" s="20">
        <v>273.27</v>
      </c>
      <c r="V279" s="16" t="s">
        <v>16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0.21</v>
      </c>
      <c r="AC279" s="21">
        <v>0.5</v>
      </c>
      <c r="AD279" s="21">
        <v>0.28999999999999998</v>
      </c>
      <c r="AE279" s="21">
        <v>11.72</v>
      </c>
      <c r="AF279" s="21">
        <v>10.5</v>
      </c>
      <c r="AG279" s="21">
        <v>24.6</v>
      </c>
      <c r="AH279" s="18" t="s">
        <v>28</v>
      </c>
      <c r="AI279" s="13" t="str">
        <f>VLOOKUP(AH279,'Hess and Brezowsky'!$B$2:$G$31,2,FALSE)</f>
        <v>Zonal</v>
      </c>
      <c r="AJ279" s="18" t="str">
        <f>VLOOKUP(AH279,'Hess and Brezowsky'!$B$2:$G$31,3,FALSE)</f>
        <v>C</v>
      </c>
      <c r="AK279" s="13" t="str">
        <f>VLOOKUP(AH279,'Hess and Brezowsky'!$B$2:$G$31,4,FALSE)</f>
        <v>Cyclonic Westerly</v>
      </c>
      <c r="AL279" s="29">
        <v>0.25591435185185185</v>
      </c>
      <c r="AM279" s="29">
        <v>0.50090277777777781</v>
      </c>
      <c r="AN279" s="30">
        <v>0.74589120370370365</v>
      </c>
    </row>
    <row r="280" spans="1:40" ht="15.75" customHeight="1" x14ac:dyDescent="0.2">
      <c r="A280" s="27">
        <v>45000</v>
      </c>
      <c r="B280" s="13">
        <v>2023</v>
      </c>
      <c r="C280" s="13">
        <v>74</v>
      </c>
      <c r="D280" s="13">
        <f t="shared" si="11"/>
        <v>4</v>
      </c>
      <c r="E280" s="13"/>
      <c r="F280" s="13">
        <f t="shared" si="10"/>
        <v>3</v>
      </c>
      <c r="G280" s="14">
        <v>1</v>
      </c>
      <c r="H280" s="14">
        <v>0</v>
      </c>
      <c r="I280" s="14">
        <v>1</v>
      </c>
      <c r="J280" s="14">
        <v>0</v>
      </c>
      <c r="K280" s="14">
        <v>0</v>
      </c>
      <c r="L280" s="14">
        <v>1</v>
      </c>
      <c r="M280" s="15">
        <v>232.946</v>
      </c>
      <c r="N280" s="16" t="str">
        <f t="shared" si="12"/>
        <v>SW</v>
      </c>
      <c r="O280" s="17">
        <v>5.5</v>
      </c>
      <c r="P280" s="16" t="s">
        <v>137</v>
      </c>
      <c r="Q280" s="18">
        <v>0</v>
      </c>
      <c r="R280" s="19">
        <v>7.28</v>
      </c>
      <c r="S280" s="19">
        <v>2.4</v>
      </c>
      <c r="T280" s="19">
        <v>12</v>
      </c>
      <c r="U280" s="20">
        <v>243.03</v>
      </c>
      <c r="V280" s="16" t="s">
        <v>5</v>
      </c>
      <c r="W280" s="21">
        <v>0</v>
      </c>
      <c r="X280" s="21">
        <v>0</v>
      </c>
      <c r="Y280" s="21">
        <v>0</v>
      </c>
      <c r="Z280" s="21">
        <v>0.04</v>
      </c>
      <c r="AA280" s="21">
        <v>0.28999999999999998</v>
      </c>
      <c r="AB280" s="21">
        <v>0.21</v>
      </c>
      <c r="AC280" s="21">
        <v>0.46</v>
      </c>
      <c r="AD280" s="21">
        <v>0</v>
      </c>
      <c r="AE280" s="21">
        <v>6.1</v>
      </c>
      <c r="AF280" s="21">
        <v>3.76</v>
      </c>
      <c r="AG280" s="21">
        <v>12.5</v>
      </c>
      <c r="AH280" s="18" t="s">
        <v>28</v>
      </c>
      <c r="AI280" s="13" t="str">
        <f>VLOOKUP(AH280,'Hess and Brezowsky'!$B$2:$G$31,2,FALSE)</f>
        <v>Zonal</v>
      </c>
      <c r="AJ280" s="18" t="str">
        <f>VLOOKUP(AH280,'Hess and Brezowsky'!$B$2:$G$31,3,FALSE)</f>
        <v>C</v>
      </c>
      <c r="AK280" s="13" t="str">
        <f>VLOOKUP(AH280,'Hess and Brezowsky'!$B$2:$G$31,4,FALSE)</f>
        <v>Cyclonic Westerly</v>
      </c>
      <c r="AL280" s="29">
        <v>0.25445601851851851</v>
      </c>
      <c r="AM280" s="29">
        <v>0.50070601851851848</v>
      </c>
      <c r="AN280" s="30">
        <v>0.74694444444444441</v>
      </c>
    </row>
    <row r="281" spans="1:40" ht="15.75" customHeight="1" x14ac:dyDescent="0.2">
      <c r="A281" s="27">
        <v>45001</v>
      </c>
      <c r="B281" s="13">
        <v>2023</v>
      </c>
      <c r="C281" s="13">
        <v>75</v>
      </c>
      <c r="D281" s="13">
        <f t="shared" si="11"/>
        <v>5</v>
      </c>
      <c r="E281" s="13"/>
      <c r="F281" s="13">
        <f t="shared" si="10"/>
        <v>3</v>
      </c>
      <c r="G281" s="14">
        <v>1</v>
      </c>
      <c r="H281" s="14">
        <v>0</v>
      </c>
      <c r="I281" s="14">
        <v>1</v>
      </c>
      <c r="J281" s="14">
        <v>0</v>
      </c>
      <c r="K281" s="14">
        <v>0</v>
      </c>
      <c r="L281" s="14">
        <v>1</v>
      </c>
      <c r="M281" s="15">
        <v>174.8</v>
      </c>
      <c r="N281" s="16" t="str">
        <f t="shared" si="12"/>
        <v>S</v>
      </c>
      <c r="O281" s="17">
        <v>9.1999999999999993</v>
      </c>
      <c r="P281" s="16" t="s">
        <v>138</v>
      </c>
      <c r="Q281" s="18">
        <v>0</v>
      </c>
      <c r="R281" s="19">
        <v>11.33</v>
      </c>
      <c r="S281" s="19">
        <v>5.3</v>
      </c>
      <c r="T281" s="19">
        <v>18</v>
      </c>
      <c r="U281" s="20">
        <v>172.52</v>
      </c>
      <c r="V281" s="16" t="s">
        <v>13</v>
      </c>
      <c r="W281" s="21">
        <v>0</v>
      </c>
      <c r="X281" s="21">
        <v>0</v>
      </c>
      <c r="Y281" s="21">
        <v>0</v>
      </c>
      <c r="Z281" s="21">
        <v>0.21</v>
      </c>
      <c r="AA281" s="21">
        <v>0.79</v>
      </c>
      <c r="AB281" s="21">
        <v>0</v>
      </c>
      <c r="AC281" s="21">
        <v>0</v>
      </c>
      <c r="AD281" s="21">
        <v>0</v>
      </c>
      <c r="AE281" s="21">
        <v>10.33</v>
      </c>
      <c r="AF281" s="21">
        <v>10.06</v>
      </c>
      <c r="AG281" s="21">
        <v>16.600000000000001</v>
      </c>
      <c r="AH281" s="18" t="s">
        <v>33</v>
      </c>
      <c r="AI281" s="13" t="str">
        <f>VLOOKUP(AH281,'Hess and Brezowsky'!$B$2:$G$31,2,FALSE)</f>
        <v>Mixed</v>
      </c>
      <c r="AJ281" s="18" t="str">
        <f>VLOOKUP(AH281,'Hess and Brezowsky'!$B$2:$G$31,3,FALSE)</f>
        <v>C</v>
      </c>
      <c r="AK281" s="13" t="str">
        <f>VLOOKUP(AH281,'Hess and Brezowsky'!$B$2:$G$31,4,FALSE)</f>
        <v>Cyclonic South-Westerly</v>
      </c>
      <c r="AL281" s="29">
        <v>0.25299768518518517</v>
      </c>
      <c r="AM281" s="29">
        <v>0.50049768518518523</v>
      </c>
      <c r="AN281" s="30">
        <v>0.74799768518518517</v>
      </c>
    </row>
    <row r="282" spans="1:40" ht="15.75" customHeight="1" x14ac:dyDescent="0.2">
      <c r="A282" s="27">
        <v>45002</v>
      </c>
      <c r="B282" s="13">
        <v>2023</v>
      </c>
      <c r="C282" s="13">
        <v>76</v>
      </c>
      <c r="D282" s="13">
        <f t="shared" si="11"/>
        <v>6</v>
      </c>
      <c r="E282" s="13"/>
      <c r="F282" s="13">
        <f t="shared" si="10"/>
        <v>3</v>
      </c>
      <c r="G282" s="14">
        <v>1</v>
      </c>
      <c r="H282" s="14">
        <v>0</v>
      </c>
      <c r="I282" s="14">
        <v>1</v>
      </c>
      <c r="J282" s="14">
        <v>0</v>
      </c>
      <c r="K282" s="14">
        <v>0</v>
      </c>
      <c r="L282" s="14">
        <v>1</v>
      </c>
      <c r="M282" s="15">
        <v>209.72200000000001</v>
      </c>
      <c r="N282" s="16" t="str">
        <f t="shared" si="12"/>
        <v>SW</v>
      </c>
      <c r="O282" s="17">
        <v>8.1999999999999993</v>
      </c>
      <c r="P282" s="16" t="s">
        <v>137</v>
      </c>
      <c r="Q282" s="18">
        <v>2.6</v>
      </c>
      <c r="R282" s="19">
        <v>12.65</v>
      </c>
      <c r="S282" s="19">
        <v>9.1999999999999993</v>
      </c>
      <c r="T282" s="19">
        <v>17</v>
      </c>
      <c r="U282" s="20">
        <v>208.66</v>
      </c>
      <c r="V282" s="16" t="s">
        <v>5</v>
      </c>
      <c r="W282" s="21">
        <v>0</v>
      </c>
      <c r="X282" s="21">
        <v>0</v>
      </c>
      <c r="Y282" s="21">
        <v>0</v>
      </c>
      <c r="Z282" s="21">
        <v>0</v>
      </c>
      <c r="AA282" s="21">
        <v>0.57999999999999996</v>
      </c>
      <c r="AB282" s="21">
        <v>0.42</v>
      </c>
      <c r="AC282" s="21">
        <v>0</v>
      </c>
      <c r="AD282" s="21">
        <v>0</v>
      </c>
      <c r="AE282" s="21">
        <v>7.06</v>
      </c>
      <c r="AF282" s="21">
        <v>6.82</v>
      </c>
      <c r="AG282" s="21">
        <v>10.7</v>
      </c>
      <c r="AH282" s="18" t="s">
        <v>33</v>
      </c>
      <c r="AI282" s="13" t="str">
        <f>VLOOKUP(AH282,'Hess and Brezowsky'!$B$2:$G$31,2,FALSE)</f>
        <v>Mixed</v>
      </c>
      <c r="AJ282" s="18" t="str">
        <f>VLOOKUP(AH282,'Hess and Brezowsky'!$B$2:$G$31,3,FALSE)</f>
        <v>C</v>
      </c>
      <c r="AK282" s="13" t="str">
        <f>VLOOKUP(AH282,'Hess and Brezowsky'!$B$2:$G$31,4,FALSE)</f>
        <v>Cyclonic South-Westerly</v>
      </c>
      <c r="AL282" s="29">
        <v>0.25152777777777779</v>
      </c>
      <c r="AM282" s="29">
        <v>0.50028935185185186</v>
      </c>
      <c r="AN282" s="30">
        <v>0.74905092592592593</v>
      </c>
    </row>
    <row r="283" spans="1:40" ht="15.75" customHeight="1" x14ac:dyDescent="0.2">
      <c r="A283" s="27">
        <v>45003</v>
      </c>
      <c r="B283" s="13">
        <v>2023</v>
      </c>
      <c r="C283" s="13">
        <v>77</v>
      </c>
      <c r="D283" s="13">
        <f t="shared" si="11"/>
        <v>7</v>
      </c>
      <c r="E283" s="13"/>
      <c r="F283" s="13">
        <f t="shared" si="10"/>
        <v>3</v>
      </c>
      <c r="G283" s="14">
        <v>1</v>
      </c>
      <c r="H283" s="14">
        <v>0</v>
      </c>
      <c r="I283" s="14">
        <v>1</v>
      </c>
      <c r="J283" s="14">
        <v>0</v>
      </c>
      <c r="K283" s="14">
        <v>0</v>
      </c>
      <c r="L283" s="14">
        <v>1</v>
      </c>
      <c r="M283" s="15">
        <v>209.73099999999999</v>
      </c>
      <c r="N283" s="16" t="str">
        <f t="shared" si="12"/>
        <v>SW</v>
      </c>
      <c r="O283" s="17">
        <v>9.5</v>
      </c>
      <c r="P283" s="16" t="s">
        <v>137</v>
      </c>
      <c r="Q283" s="18">
        <v>1</v>
      </c>
      <c r="R283" s="19">
        <v>12.51</v>
      </c>
      <c r="S283" s="19">
        <v>9.1999999999999993</v>
      </c>
      <c r="T283" s="19">
        <v>16.7</v>
      </c>
      <c r="U283" s="20">
        <v>206.15</v>
      </c>
      <c r="V283" s="16" t="s">
        <v>5</v>
      </c>
      <c r="W283" s="21">
        <v>0</v>
      </c>
      <c r="X283" s="21">
        <v>0</v>
      </c>
      <c r="Y283" s="21">
        <v>0</v>
      </c>
      <c r="Z283" s="21">
        <v>0</v>
      </c>
      <c r="AA283" s="21">
        <v>0.38</v>
      </c>
      <c r="AB283" s="21">
        <v>0.62</v>
      </c>
      <c r="AC283" s="21">
        <v>0</v>
      </c>
      <c r="AD283" s="21">
        <v>0</v>
      </c>
      <c r="AE283" s="21">
        <v>8</v>
      </c>
      <c r="AF283" s="21">
        <v>7.91</v>
      </c>
      <c r="AG283" s="21">
        <v>13</v>
      </c>
      <c r="AH283" s="18" t="s">
        <v>33</v>
      </c>
      <c r="AI283" s="13" t="str">
        <f>VLOOKUP(AH283,'Hess and Brezowsky'!$B$2:$G$31,2,FALSE)</f>
        <v>Mixed</v>
      </c>
      <c r="AJ283" s="18" t="str">
        <f>VLOOKUP(AH283,'Hess and Brezowsky'!$B$2:$G$31,3,FALSE)</f>
        <v>C</v>
      </c>
      <c r="AK283" s="13" t="str">
        <f>VLOOKUP(AH283,'Hess and Brezowsky'!$B$2:$G$31,4,FALSE)</f>
        <v>Cyclonic South-Westerly</v>
      </c>
      <c r="AL283" s="29">
        <v>0.25005787037037036</v>
      </c>
      <c r="AM283" s="29">
        <v>0.50008101851851849</v>
      </c>
      <c r="AN283" s="30">
        <v>0.75009259259259264</v>
      </c>
    </row>
    <row r="284" spans="1:40" ht="15.75" customHeight="1" x14ac:dyDescent="0.2">
      <c r="A284" s="27">
        <v>45004</v>
      </c>
      <c r="B284" s="13">
        <v>2023</v>
      </c>
      <c r="C284" s="13">
        <v>78</v>
      </c>
      <c r="D284" s="13">
        <f t="shared" si="11"/>
        <v>1</v>
      </c>
      <c r="E284" s="13"/>
      <c r="F284" s="13">
        <f t="shared" si="10"/>
        <v>3</v>
      </c>
      <c r="G284" s="14">
        <v>1</v>
      </c>
      <c r="H284" s="14">
        <v>0</v>
      </c>
      <c r="I284" s="14">
        <v>1</v>
      </c>
      <c r="J284" s="14">
        <v>0</v>
      </c>
      <c r="K284" s="14">
        <v>0</v>
      </c>
      <c r="L284" s="14">
        <v>1</v>
      </c>
      <c r="M284" s="15">
        <v>292.33199999999999</v>
      </c>
      <c r="N284" s="16" t="str">
        <f t="shared" si="12"/>
        <v>W</v>
      </c>
      <c r="O284" s="17">
        <v>6.2</v>
      </c>
      <c r="P284" s="16" t="s">
        <v>137</v>
      </c>
      <c r="Q284" s="18">
        <v>2.4</v>
      </c>
      <c r="R284" s="19">
        <v>10.039999999999999</v>
      </c>
      <c r="S284" s="19">
        <v>5.7</v>
      </c>
      <c r="T284" s="19">
        <v>12.1</v>
      </c>
      <c r="U284" s="20">
        <v>288.52</v>
      </c>
      <c r="V284" s="16" t="s">
        <v>16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1">
        <v>0.12</v>
      </c>
      <c r="AC284" s="21">
        <v>0.42</v>
      </c>
      <c r="AD284" s="21">
        <v>0.46</v>
      </c>
      <c r="AE284" s="21">
        <v>6.65</v>
      </c>
      <c r="AF284" s="21">
        <v>5.68</v>
      </c>
      <c r="AG284" s="21">
        <v>10.3</v>
      </c>
      <c r="AH284" s="18" t="s">
        <v>33</v>
      </c>
      <c r="AI284" s="13" t="str">
        <f>VLOOKUP(AH284,'Hess and Brezowsky'!$B$2:$G$31,2,FALSE)</f>
        <v>Mixed</v>
      </c>
      <c r="AJ284" s="18" t="str">
        <f>VLOOKUP(AH284,'Hess and Brezowsky'!$B$2:$G$31,3,FALSE)</f>
        <v>C</v>
      </c>
      <c r="AK284" s="13" t="str">
        <f>VLOOKUP(AH284,'Hess and Brezowsky'!$B$2:$G$31,4,FALSE)</f>
        <v>Cyclonic South-Westerly</v>
      </c>
      <c r="AL284" s="29">
        <v>0.24859953703703705</v>
      </c>
      <c r="AM284" s="29">
        <v>0.49987268518518518</v>
      </c>
      <c r="AN284" s="30">
        <v>0.75114583333333329</v>
      </c>
    </row>
    <row r="285" spans="1:40" ht="15.75" customHeight="1" x14ac:dyDescent="0.2">
      <c r="A285" s="27">
        <v>45005</v>
      </c>
      <c r="B285" s="13">
        <v>2023</v>
      </c>
      <c r="C285" s="13">
        <v>79</v>
      </c>
      <c r="D285" s="13">
        <f t="shared" si="11"/>
        <v>2</v>
      </c>
      <c r="E285" s="13"/>
      <c r="F285" s="13">
        <f t="shared" si="10"/>
        <v>3</v>
      </c>
      <c r="G285" s="14">
        <v>1</v>
      </c>
      <c r="H285" s="14">
        <v>0</v>
      </c>
      <c r="I285" s="14">
        <v>1</v>
      </c>
      <c r="J285" s="14">
        <v>0</v>
      </c>
      <c r="K285" s="14">
        <v>0</v>
      </c>
      <c r="L285" s="14">
        <v>1</v>
      </c>
      <c r="M285" s="15">
        <v>219.33799999999999</v>
      </c>
      <c r="N285" s="16" t="str">
        <f t="shared" si="12"/>
        <v>SW</v>
      </c>
      <c r="O285" s="17">
        <v>5.5</v>
      </c>
      <c r="P285" s="16" t="s">
        <v>137</v>
      </c>
      <c r="Q285" s="18">
        <v>0</v>
      </c>
      <c r="R285" s="19">
        <v>10.16</v>
      </c>
      <c r="S285" s="19">
        <v>3.7</v>
      </c>
      <c r="T285" s="19">
        <v>15.2</v>
      </c>
      <c r="U285" s="20">
        <v>215.53</v>
      </c>
      <c r="V285" s="16" t="s">
        <v>5</v>
      </c>
      <c r="W285" s="21">
        <v>0</v>
      </c>
      <c r="X285" s="21">
        <v>0</v>
      </c>
      <c r="Y285" s="21">
        <v>0</v>
      </c>
      <c r="Z285" s="21">
        <v>0</v>
      </c>
      <c r="AA285" s="21">
        <v>0.21</v>
      </c>
      <c r="AB285" s="21">
        <v>0.71</v>
      </c>
      <c r="AC285" s="21">
        <v>0.08</v>
      </c>
      <c r="AD285" s="21">
        <v>0</v>
      </c>
      <c r="AE285" s="21">
        <v>4.22</v>
      </c>
      <c r="AF285" s="21">
        <v>4.0599999999999996</v>
      </c>
      <c r="AG285" s="21">
        <v>7.9</v>
      </c>
      <c r="AH285" s="18" t="s">
        <v>32</v>
      </c>
      <c r="AI285" s="13" t="str">
        <f>VLOOKUP(AH285,'Hess and Brezowsky'!$B$2:$G$31,2,FALSE)</f>
        <v>Mixed</v>
      </c>
      <c r="AJ285" s="18" t="str">
        <f>VLOOKUP(AH285,'Hess and Brezowsky'!$B$2:$G$31,3,FALSE)</f>
        <v>A</v>
      </c>
      <c r="AK285" s="13" t="str">
        <f>VLOOKUP(AH285,'Hess and Brezowsky'!$B$2:$G$31,4,FALSE)</f>
        <v>Anticyclonic South-Westerly</v>
      </c>
      <c r="AL285" s="29">
        <v>0.24711805555555555</v>
      </c>
      <c r="AM285" s="29">
        <v>0.49965277777777778</v>
      </c>
      <c r="AN285" s="30">
        <v>0.75218750000000001</v>
      </c>
    </row>
    <row r="286" spans="1:40" ht="15.75" customHeight="1" x14ac:dyDescent="0.2">
      <c r="A286" s="27">
        <v>45006</v>
      </c>
      <c r="B286" s="13">
        <v>2023</v>
      </c>
      <c r="C286" s="13">
        <v>80</v>
      </c>
      <c r="D286" s="13">
        <f t="shared" si="11"/>
        <v>3</v>
      </c>
      <c r="E286" s="13"/>
      <c r="F286" s="13">
        <f t="shared" si="10"/>
        <v>3</v>
      </c>
      <c r="G286" s="14">
        <v>1</v>
      </c>
      <c r="H286" s="14">
        <v>0</v>
      </c>
      <c r="I286" s="14">
        <v>1</v>
      </c>
      <c r="J286" s="14">
        <v>0</v>
      </c>
      <c r="K286" s="14">
        <v>0</v>
      </c>
      <c r="L286" s="14">
        <v>1</v>
      </c>
      <c r="M286" s="15">
        <v>215.06</v>
      </c>
      <c r="N286" s="16" t="str">
        <f t="shared" si="12"/>
        <v>SW</v>
      </c>
      <c r="O286" s="17">
        <v>8.1999999999999993</v>
      </c>
      <c r="P286" s="16" t="s">
        <v>137</v>
      </c>
      <c r="Q286" s="18">
        <v>0.2</v>
      </c>
      <c r="R286" s="19">
        <v>12.27</v>
      </c>
      <c r="S286" s="19">
        <v>9.1</v>
      </c>
      <c r="T286" s="19">
        <v>15.6</v>
      </c>
      <c r="U286" s="20">
        <v>211.98</v>
      </c>
      <c r="V286" s="16" t="s">
        <v>5</v>
      </c>
      <c r="W286" s="21">
        <v>0</v>
      </c>
      <c r="X286" s="21">
        <v>0</v>
      </c>
      <c r="Y286" s="21">
        <v>0</v>
      </c>
      <c r="Z286" s="21">
        <v>0</v>
      </c>
      <c r="AA286" s="21">
        <v>0.25</v>
      </c>
      <c r="AB286" s="21">
        <v>0.75</v>
      </c>
      <c r="AC286" s="21">
        <v>0</v>
      </c>
      <c r="AD286" s="21">
        <v>0</v>
      </c>
      <c r="AE286" s="21">
        <v>7.01</v>
      </c>
      <c r="AF286" s="21">
        <v>6.87</v>
      </c>
      <c r="AG286" s="21">
        <v>12</v>
      </c>
      <c r="AH286" s="18" t="s">
        <v>32</v>
      </c>
      <c r="AI286" s="13" t="str">
        <f>VLOOKUP(AH286,'Hess and Brezowsky'!$B$2:$G$31,2,FALSE)</f>
        <v>Mixed</v>
      </c>
      <c r="AJ286" s="18" t="str">
        <f>VLOOKUP(AH286,'Hess and Brezowsky'!$B$2:$G$31,3,FALSE)</f>
        <v>A</v>
      </c>
      <c r="AK286" s="13" t="str">
        <f>VLOOKUP(AH286,'Hess and Brezowsky'!$B$2:$G$31,4,FALSE)</f>
        <v>Anticyclonic South-Westerly</v>
      </c>
      <c r="AL286" s="29">
        <v>0.24564814814814814</v>
      </c>
      <c r="AM286" s="29">
        <v>0.49943287037037037</v>
      </c>
      <c r="AN286" s="30">
        <v>0.75322916666666662</v>
      </c>
    </row>
    <row r="287" spans="1:40" ht="15.75" customHeight="1" x14ac:dyDescent="0.2">
      <c r="A287" s="27">
        <v>45007</v>
      </c>
      <c r="B287" s="13">
        <v>2023</v>
      </c>
      <c r="C287" s="13">
        <v>81</v>
      </c>
      <c r="D287" s="13">
        <f t="shared" si="11"/>
        <v>4</v>
      </c>
      <c r="E287" s="13"/>
      <c r="F287" s="13">
        <f t="shared" si="10"/>
        <v>3</v>
      </c>
      <c r="G287" s="14">
        <v>1</v>
      </c>
      <c r="H287" s="14">
        <v>0</v>
      </c>
      <c r="I287" s="14">
        <v>1</v>
      </c>
      <c r="J287" s="14">
        <v>0</v>
      </c>
      <c r="K287" s="14">
        <v>0</v>
      </c>
      <c r="L287" s="14">
        <v>1</v>
      </c>
      <c r="M287" s="15">
        <v>212.80500000000001</v>
      </c>
      <c r="N287" s="16" t="str">
        <f t="shared" si="12"/>
        <v>SW</v>
      </c>
      <c r="O287" s="17">
        <v>11.3</v>
      </c>
      <c r="P287" s="16" t="s">
        <v>140</v>
      </c>
      <c r="Q287" s="18">
        <v>1.6</v>
      </c>
      <c r="R287" s="19">
        <v>12.02</v>
      </c>
      <c r="S287" s="19">
        <v>9.1999999999999993</v>
      </c>
      <c r="T287" s="19">
        <v>14.7</v>
      </c>
      <c r="U287" s="20">
        <v>206.76</v>
      </c>
      <c r="V287" s="16" t="s">
        <v>5</v>
      </c>
      <c r="W287" s="21">
        <v>0</v>
      </c>
      <c r="X287" s="21">
        <v>0</v>
      </c>
      <c r="Y287" s="21">
        <v>0</v>
      </c>
      <c r="Z287" s="21">
        <v>0</v>
      </c>
      <c r="AA287" s="21">
        <v>0.38</v>
      </c>
      <c r="AB287" s="21">
        <v>0.62</v>
      </c>
      <c r="AC287" s="21">
        <v>0</v>
      </c>
      <c r="AD287" s="21">
        <v>0</v>
      </c>
      <c r="AE287" s="21">
        <v>9.84</v>
      </c>
      <c r="AF287" s="21">
        <v>9.75</v>
      </c>
      <c r="AG287" s="21">
        <v>15.1</v>
      </c>
      <c r="AH287" s="18" t="s">
        <v>32</v>
      </c>
      <c r="AI287" s="13" t="str">
        <f>VLOOKUP(AH287,'Hess and Brezowsky'!$B$2:$G$31,2,FALSE)</f>
        <v>Mixed</v>
      </c>
      <c r="AJ287" s="18" t="str">
        <f>VLOOKUP(AH287,'Hess and Brezowsky'!$B$2:$G$31,3,FALSE)</f>
        <v>A</v>
      </c>
      <c r="AK287" s="13" t="str">
        <f>VLOOKUP(AH287,'Hess and Brezowsky'!$B$2:$G$31,4,FALSE)</f>
        <v>Anticyclonic South-Westerly</v>
      </c>
      <c r="AL287" s="29">
        <v>0.24417824074074074</v>
      </c>
      <c r="AM287" s="29">
        <v>0.49922453703703706</v>
      </c>
      <c r="AN287" s="30">
        <v>0.7542592592592593</v>
      </c>
    </row>
    <row r="288" spans="1:40" ht="15.75" customHeight="1" x14ac:dyDescent="0.2">
      <c r="A288" s="27">
        <v>45008</v>
      </c>
      <c r="B288" s="13">
        <v>2023</v>
      </c>
      <c r="C288" s="13">
        <v>82</v>
      </c>
      <c r="D288" s="13">
        <f t="shared" si="11"/>
        <v>5</v>
      </c>
      <c r="E288" s="13"/>
      <c r="F288" s="13">
        <f t="shared" si="10"/>
        <v>3</v>
      </c>
      <c r="G288" s="14">
        <v>1</v>
      </c>
      <c r="H288" s="14">
        <v>0</v>
      </c>
      <c r="I288" s="14">
        <v>1</v>
      </c>
      <c r="J288" s="14">
        <v>0</v>
      </c>
      <c r="K288" s="14">
        <v>0</v>
      </c>
      <c r="L288" s="14">
        <v>1</v>
      </c>
      <c r="M288" s="15">
        <v>210.06299999999999</v>
      </c>
      <c r="N288" s="16" t="str">
        <f t="shared" si="12"/>
        <v>SW</v>
      </c>
      <c r="O288" s="17">
        <v>12</v>
      </c>
      <c r="P288" s="16" t="s">
        <v>137</v>
      </c>
      <c r="Q288" s="18">
        <v>0.8</v>
      </c>
      <c r="R288" s="19">
        <v>13.91</v>
      </c>
      <c r="S288" s="19">
        <v>11.9</v>
      </c>
      <c r="T288" s="19">
        <v>17</v>
      </c>
      <c r="U288" s="20">
        <v>206.05</v>
      </c>
      <c r="V288" s="16" t="s">
        <v>5</v>
      </c>
      <c r="W288" s="21">
        <v>0</v>
      </c>
      <c r="X288" s="21">
        <v>0</v>
      </c>
      <c r="Y288" s="21">
        <v>0</v>
      </c>
      <c r="Z288" s="21">
        <v>0</v>
      </c>
      <c r="AA288" s="21">
        <v>0.38</v>
      </c>
      <c r="AB288" s="21">
        <v>0.62</v>
      </c>
      <c r="AC288" s="21">
        <v>0</v>
      </c>
      <c r="AD288" s="21">
        <v>0</v>
      </c>
      <c r="AE288" s="21">
        <v>10.52</v>
      </c>
      <c r="AF288" s="21">
        <v>10.42</v>
      </c>
      <c r="AG288" s="21">
        <v>15.7</v>
      </c>
      <c r="AH288" s="18" t="s">
        <v>28</v>
      </c>
      <c r="AI288" s="13" t="str">
        <f>VLOOKUP(AH288,'Hess and Brezowsky'!$B$2:$G$31,2,FALSE)</f>
        <v>Zonal</v>
      </c>
      <c r="AJ288" s="18" t="str">
        <f>VLOOKUP(AH288,'Hess and Brezowsky'!$B$2:$G$31,3,FALSE)</f>
        <v>C</v>
      </c>
      <c r="AK288" s="13" t="str">
        <f>VLOOKUP(AH288,'Hess and Brezowsky'!$B$2:$G$31,4,FALSE)</f>
        <v>Cyclonic Westerly</v>
      </c>
      <c r="AL288" s="29">
        <v>0.24270833333333333</v>
      </c>
      <c r="AM288" s="29">
        <v>0.4990046296296296</v>
      </c>
      <c r="AN288" s="30">
        <v>0.7553009259259259</v>
      </c>
    </row>
    <row r="289" spans="1:40" ht="15.75" customHeight="1" x14ac:dyDescent="0.2">
      <c r="A289" s="27">
        <v>45009</v>
      </c>
      <c r="B289" s="13">
        <v>2023</v>
      </c>
      <c r="C289" s="13">
        <v>83</v>
      </c>
      <c r="D289" s="13">
        <f t="shared" si="11"/>
        <v>6</v>
      </c>
      <c r="E289" s="13"/>
      <c r="F289" s="13">
        <f t="shared" si="10"/>
        <v>3</v>
      </c>
      <c r="G289" s="14">
        <v>1</v>
      </c>
      <c r="H289" s="14">
        <v>0</v>
      </c>
      <c r="I289" s="14">
        <v>1</v>
      </c>
      <c r="J289" s="14">
        <v>0</v>
      </c>
      <c r="K289" s="14">
        <v>0</v>
      </c>
      <c r="L289" s="14">
        <v>1</v>
      </c>
      <c r="M289" s="15">
        <v>238.38800000000001</v>
      </c>
      <c r="N289" s="16" t="str">
        <f t="shared" si="12"/>
        <v>SW</v>
      </c>
      <c r="O289" s="17">
        <v>12.2</v>
      </c>
      <c r="P289" s="16" t="s">
        <v>137</v>
      </c>
      <c r="Q289" s="18">
        <v>2.4</v>
      </c>
      <c r="R289" s="19">
        <v>12.49</v>
      </c>
      <c r="S289" s="19">
        <v>9</v>
      </c>
      <c r="T289" s="19">
        <v>15.9</v>
      </c>
      <c r="U289" s="20">
        <v>235.99</v>
      </c>
      <c r="V289" s="16" t="s">
        <v>5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1</v>
      </c>
      <c r="AC289" s="21">
        <v>0</v>
      </c>
      <c r="AD289" s="21">
        <v>0</v>
      </c>
      <c r="AE289" s="21">
        <v>11.97</v>
      </c>
      <c r="AF289" s="21">
        <v>11.9</v>
      </c>
      <c r="AG289" s="21">
        <v>18.8</v>
      </c>
      <c r="AH289" s="18" t="s">
        <v>28</v>
      </c>
      <c r="AI289" s="13" t="str">
        <f>VLOOKUP(AH289,'Hess and Brezowsky'!$B$2:$G$31,2,FALSE)</f>
        <v>Zonal</v>
      </c>
      <c r="AJ289" s="18" t="str">
        <f>VLOOKUP(AH289,'Hess and Brezowsky'!$B$2:$G$31,3,FALSE)</f>
        <v>C</v>
      </c>
      <c r="AK289" s="13" t="str">
        <f>VLOOKUP(AH289,'Hess and Brezowsky'!$B$2:$G$31,4,FALSE)</f>
        <v>Cyclonic Westerly</v>
      </c>
      <c r="AL289" s="29">
        <v>0.24122685185185186</v>
      </c>
      <c r="AM289" s="29">
        <v>0.4987847222222222</v>
      </c>
      <c r="AN289" s="30">
        <v>0.75634259259259262</v>
      </c>
    </row>
    <row r="290" spans="1:40" ht="15.75" customHeight="1" x14ac:dyDescent="0.2">
      <c r="A290" s="27">
        <v>45010</v>
      </c>
      <c r="B290" s="13">
        <v>2023</v>
      </c>
      <c r="C290" s="13">
        <v>84</v>
      </c>
      <c r="D290" s="13">
        <f t="shared" si="11"/>
        <v>7</v>
      </c>
      <c r="E290" s="13"/>
      <c r="F290" s="13">
        <f t="shared" si="10"/>
        <v>3</v>
      </c>
      <c r="G290" s="14">
        <v>1</v>
      </c>
      <c r="H290" s="14">
        <v>0</v>
      </c>
      <c r="I290" s="14">
        <v>1</v>
      </c>
      <c r="J290" s="14">
        <v>0</v>
      </c>
      <c r="K290" s="14">
        <v>0</v>
      </c>
      <c r="L290" s="14">
        <v>1</v>
      </c>
      <c r="M290" s="15">
        <v>238.101</v>
      </c>
      <c r="N290" s="16" t="str">
        <f t="shared" si="12"/>
        <v>SW</v>
      </c>
      <c r="O290" s="17">
        <v>11</v>
      </c>
      <c r="P290" s="16" t="s">
        <v>137</v>
      </c>
      <c r="Q290" s="18">
        <v>0.2</v>
      </c>
      <c r="R290" s="19">
        <v>11.49</v>
      </c>
      <c r="S290" s="19">
        <v>8.8000000000000007</v>
      </c>
      <c r="T290" s="19">
        <v>14.9</v>
      </c>
      <c r="U290" s="20">
        <v>236.33</v>
      </c>
      <c r="V290" s="16" t="s">
        <v>5</v>
      </c>
      <c r="W290" s="21">
        <v>0</v>
      </c>
      <c r="X290" s="21">
        <v>0</v>
      </c>
      <c r="Y290" s="21">
        <v>0</v>
      </c>
      <c r="Z290" s="21">
        <v>0</v>
      </c>
      <c r="AA290" s="21">
        <v>0.08</v>
      </c>
      <c r="AB290" s="21">
        <v>0.71</v>
      </c>
      <c r="AC290" s="21">
        <v>0.21</v>
      </c>
      <c r="AD290" s="21">
        <v>0</v>
      </c>
      <c r="AE290" s="21">
        <v>11.15</v>
      </c>
      <c r="AF290" s="21">
        <v>10.79</v>
      </c>
      <c r="AG290" s="21">
        <v>15.5</v>
      </c>
      <c r="AH290" s="18" t="s">
        <v>28</v>
      </c>
      <c r="AI290" s="13" t="str">
        <f>VLOOKUP(AH290,'Hess and Brezowsky'!$B$2:$G$31,2,FALSE)</f>
        <v>Zonal</v>
      </c>
      <c r="AJ290" s="18" t="str">
        <f>VLOOKUP(AH290,'Hess and Brezowsky'!$B$2:$G$31,3,FALSE)</f>
        <v>C</v>
      </c>
      <c r="AK290" s="13" t="str">
        <f>VLOOKUP(AH290,'Hess and Brezowsky'!$B$2:$G$31,4,FALSE)</f>
        <v>Cyclonic Westerly</v>
      </c>
      <c r="AL290" s="29">
        <v>0.23975694444444445</v>
      </c>
      <c r="AM290" s="29">
        <v>0.49856481481481479</v>
      </c>
      <c r="AN290" s="30">
        <v>0.75737268518518519</v>
      </c>
    </row>
    <row r="291" spans="1:40" ht="15.75" customHeight="1" x14ac:dyDescent="0.2">
      <c r="A291" s="27">
        <v>45011</v>
      </c>
      <c r="B291" s="13">
        <v>2023</v>
      </c>
      <c r="C291" s="13">
        <v>85</v>
      </c>
      <c r="D291" s="13">
        <f t="shared" si="11"/>
        <v>1</v>
      </c>
      <c r="E291" s="13"/>
      <c r="F291" s="13">
        <f t="shared" si="10"/>
        <v>3</v>
      </c>
      <c r="G291" s="14">
        <v>1</v>
      </c>
      <c r="H291" s="14">
        <v>0</v>
      </c>
      <c r="I291" s="14">
        <v>1</v>
      </c>
      <c r="J291" s="14">
        <v>0</v>
      </c>
      <c r="K291" s="14">
        <v>0</v>
      </c>
      <c r="L291" s="14">
        <v>1</v>
      </c>
      <c r="M291" s="15">
        <v>268.40800000000002</v>
      </c>
      <c r="N291" s="16" t="str">
        <f t="shared" si="12"/>
        <v>W</v>
      </c>
      <c r="O291" s="17">
        <v>10.4</v>
      </c>
      <c r="P291" s="16" t="s">
        <v>137</v>
      </c>
      <c r="Q291" s="18">
        <v>5.4</v>
      </c>
      <c r="R291" s="19">
        <v>9.6999999999999993</v>
      </c>
      <c r="S291" s="19">
        <v>7.2</v>
      </c>
      <c r="T291" s="19">
        <v>13.2</v>
      </c>
      <c r="U291" s="20">
        <v>260.92</v>
      </c>
      <c r="V291" s="16" t="s">
        <v>16</v>
      </c>
      <c r="W291" s="21">
        <v>0.25</v>
      </c>
      <c r="X291" s="21">
        <v>0</v>
      </c>
      <c r="Y291" s="21">
        <v>0</v>
      </c>
      <c r="Z291" s="21">
        <v>0</v>
      </c>
      <c r="AA291" s="21">
        <v>0.12</v>
      </c>
      <c r="AB291" s="21">
        <v>0.28999999999999998</v>
      </c>
      <c r="AC291" s="21">
        <v>0.21</v>
      </c>
      <c r="AD291" s="21">
        <v>0.12</v>
      </c>
      <c r="AE291" s="21">
        <v>10.98</v>
      </c>
      <c r="AF291" s="21">
        <v>6.45</v>
      </c>
      <c r="AG291" s="21">
        <v>18.600000000000001</v>
      </c>
      <c r="AH291" s="18" t="s">
        <v>28</v>
      </c>
      <c r="AI291" s="13" t="str">
        <f>VLOOKUP(AH291,'Hess and Brezowsky'!$B$2:$G$31,2,FALSE)</f>
        <v>Zonal</v>
      </c>
      <c r="AJ291" s="18" t="str">
        <f>VLOOKUP(AH291,'Hess and Brezowsky'!$B$2:$G$31,3,FALSE)</f>
        <v>C</v>
      </c>
      <c r="AK291" s="13" t="str">
        <f>VLOOKUP(AH291,'Hess and Brezowsky'!$B$2:$G$31,4,FALSE)</f>
        <v>Cyclonic Westerly</v>
      </c>
      <c r="AL291" s="29">
        <v>0.23828703703703705</v>
      </c>
      <c r="AM291" s="29">
        <v>0.49834490740740739</v>
      </c>
      <c r="AN291" s="30">
        <v>0.7584143518518518</v>
      </c>
    </row>
    <row r="292" spans="1:40" ht="15.75" customHeight="1" x14ac:dyDescent="0.2">
      <c r="A292" s="27">
        <v>45012</v>
      </c>
      <c r="B292" s="13">
        <v>2023</v>
      </c>
      <c r="C292" s="13">
        <v>86</v>
      </c>
      <c r="D292" s="13">
        <f t="shared" si="11"/>
        <v>2</v>
      </c>
      <c r="E292" s="13"/>
      <c r="F292" s="13">
        <f t="shared" si="10"/>
        <v>3</v>
      </c>
      <c r="G292" s="14">
        <v>1</v>
      </c>
      <c r="H292" s="14">
        <v>0</v>
      </c>
      <c r="I292" s="14">
        <v>1</v>
      </c>
      <c r="J292" s="14">
        <v>0</v>
      </c>
      <c r="K292" s="14">
        <v>0</v>
      </c>
      <c r="L292" s="14">
        <v>1</v>
      </c>
      <c r="M292" s="15">
        <v>351.10199999999998</v>
      </c>
      <c r="N292" s="16" t="str">
        <f t="shared" si="12"/>
        <v>N</v>
      </c>
      <c r="O292" s="17">
        <v>6.1</v>
      </c>
      <c r="P292" s="16" t="s">
        <v>137</v>
      </c>
      <c r="Q292" s="18">
        <v>0</v>
      </c>
      <c r="R292" s="19">
        <v>7.83</v>
      </c>
      <c r="S292" s="19">
        <v>5.8</v>
      </c>
      <c r="T292" s="19">
        <v>10.7</v>
      </c>
      <c r="U292" s="20">
        <v>341.54</v>
      </c>
      <c r="V292" s="16" t="s">
        <v>7</v>
      </c>
      <c r="W292" s="21">
        <v>0.21</v>
      </c>
      <c r="X292" s="21">
        <v>0.08</v>
      </c>
      <c r="Y292" s="21">
        <v>0.08</v>
      </c>
      <c r="Z292" s="21">
        <v>0</v>
      </c>
      <c r="AA292" s="21">
        <v>0</v>
      </c>
      <c r="AB292" s="21">
        <v>0</v>
      </c>
      <c r="AC292" s="21">
        <v>0</v>
      </c>
      <c r="AD292" s="21">
        <v>0.62</v>
      </c>
      <c r="AE292" s="21">
        <v>6.33</v>
      </c>
      <c r="AF292" s="21">
        <v>5.58</v>
      </c>
      <c r="AG292" s="21">
        <v>10.6</v>
      </c>
      <c r="AH292" s="18" t="s">
        <v>12</v>
      </c>
      <c r="AI292" s="13" t="str">
        <f>VLOOKUP(AH292,'Hess and Brezowsky'!$B$2:$G$31,2,FALSE)</f>
        <v>Undefined</v>
      </c>
      <c r="AJ292" s="18" t="str">
        <f>VLOOKUP(AH292,'Hess and Brezowsky'!$B$2:$G$31,3,FALSE)</f>
        <v>M</v>
      </c>
      <c r="AK292" s="13" t="str">
        <f>VLOOKUP(AH292,'Hess and Brezowsky'!$B$2:$G$31,4,FALSE)</f>
        <v>Transistion / Undefined</v>
      </c>
      <c r="AL292" s="29">
        <v>0.23680555555555555</v>
      </c>
      <c r="AM292" s="29">
        <v>0.49812499999999998</v>
      </c>
      <c r="AN292" s="30">
        <v>0.75944444444444448</v>
      </c>
    </row>
    <row r="293" spans="1:40" ht="15.75" customHeight="1" x14ac:dyDescent="0.2">
      <c r="A293" s="27">
        <v>45013</v>
      </c>
      <c r="B293" s="13">
        <v>2023</v>
      </c>
      <c r="C293" s="13">
        <v>87</v>
      </c>
      <c r="D293" s="13">
        <f t="shared" si="11"/>
        <v>3</v>
      </c>
      <c r="E293" s="13"/>
      <c r="F293" s="13">
        <f t="shared" si="10"/>
        <v>3</v>
      </c>
      <c r="G293" s="14">
        <v>1</v>
      </c>
      <c r="H293" s="14">
        <v>0</v>
      </c>
      <c r="I293" s="14">
        <v>1</v>
      </c>
      <c r="J293" s="14">
        <v>0</v>
      </c>
      <c r="K293" s="14">
        <v>0</v>
      </c>
      <c r="L293" s="14">
        <v>1</v>
      </c>
      <c r="M293" s="15">
        <v>171.601</v>
      </c>
      <c r="N293" s="16" t="str">
        <f t="shared" si="12"/>
        <v>S</v>
      </c>
      <c r="O293" s="17">
        <v>7.6</v>
      </c>
      <c r="P293" s="16" t="s">
        <v>137</v>
      </c>
      <c r="Q293" s="18">
        <v>0</v>
      </c>
      <c r="R293" s="19">
        <v>7.99</v>
      </c>
      <c r="S293" s="19">
        <v>3.8</v>
      </c>
      <c r="T293" s="19">
        <v>11.3</v>
      </c>
      <c r="U293" s="20">
        <v>170.87</v>
      </c>
      <c r="V293" s="16" t="s">
        <v>13</v>
      </c>
      <c r="W293" s="21">
        <v>0</v>
      </c>
      <c r="X293" s="21">
        <v>0</v>
      </c>
      <c r="Y293" s="21">
        <v>0.04</v>
      </c>
      <c r="Z293" s="21">
        <v>0.21</v>
      </c>
      <c r="AA293" s="21">
        <v>0.62</v>
      </c>
      <c r="AB293" s="21">
        <v>0.12</v>
      </c>
      <c r="AC293" s="21">
        <v>0</v>
      </c>
      <c r="AD293" s="21">
        <v>0</v>
      </c>
      <c r="AE293" s="21">
        <v>7.91</v>
      </c>
      <c r="AF293" s="21">
        <v>7.37</v>
      </c>
      <c r="AG293" s="21">
        <v>10.4</v>
      </c>
      <c r="AH293" s="18" t="s">
        <v>33</v>
      </c>
      <c r="AI293" s="13" t="str">
        <f>VLOOKUP(AH293,'Hess and Brezowsky'!$B$2:$G$31,2,FALSE)</f>
        <v>Mixed</v>
      </c>
      <c r="AJ293" s="18" t="str">
        <f>VLOOKUP(AH293,'Hess and Brezowsky'!$B$2:$G$31,3,FALSE)</f>
        <v>C</v>
      </c>
      <c r="AK293" s="13" t="str">
        <f>VLOOKUP(AH293,'Hess and Brezowsky'!$B$2:$G$31,4,FALSE)</f>
        <v>Cyclonic South-Westerly</v>
      </c>
      <c r="AL293" s="29">
        <v>0.23533564814814814</v>
      </c>
      <c r="AM293" s="29">
        <v>0.49790509259259258</v>
      </c>
      <c r="AN293" s="30">
        <v>0.76047453703703705</v>
      </c>
    </row>
    <row r="294" spans="1:40" ht="15.75" customHeight="1" x14ac:dyDescent="0.2">
      <c r="A294" s="27">
        <v>45014</v>
      </c>
      <c r="B294" s="13">
        <v>2023</v>
      </c>
      <c r="C294" s="13">
        <v>88</v>
      </c>
      <c r="D294" s="13">
        <f t="shared" si="11"/>
        <v>4</v>
      </c>
      <c r="E294" s="13"/>
      <c r="F294" s="13">
        <f t="shared" si="10"/>
        <v>3</v>
      </c>
      <c r="G294" s="14">
        <v>1</v>
      </c>
      <c r="H294" s="14">
        <v>0</v>
      </c>
      <c r="I294" s="14">
        <v>1</v>
      </c>
      <c r="J294" s="14">
        <v>0</v>
      </c>
      <c r="K294" s="14">
        <v>0</v>
      </c>
      <c r="L294" s="14">
        <v>1</v>
      </c>
      <c r="M294" s="15">
        <v>219.81100000000001</v>
      </c>
      <c r="N294" s="16" t="str">
        <f t="shared" si="12"/>
        <v>SW</v>
      </c>
      <c r="O294" s="17">
        <v>8.6</v>
      </c>
      <c r="P294" s="16" t="s">
        <v>137</v>
      </c>
      <c r="Q294" s="18">
        <v>0</v>
      </c>
      <c r="R294" s="19">
        <v>15.56</v>
      </c>
      <c r="S294" s="19">
        <v>9.4</v>
      </c>
      <c r="T294" s="19">
        <v>21</v>
      </c>
      <c r="U294" s="20">
        <v>219.05</v>
      </c>
      <c r="V294" s="16" t="s">
        <v>5</v>
      </c>
      <c r="W294" s="21">
        <v>0</v>
      </c>
      <c r="X294" s="21">
        <v>0</v>
      </c>
      <c r="Y294" s="21">
        <v>0</v>
      </c>
      <c r="Z294" s="21">
        <v>0</v>
      </c>
      <c r="AA294" s="21">
        <v>0.25</v>
      </c>
      <c r="AB294" s="21">
        <v>0.67</v>
      </c>
      <c r="AC294" s="21">
        <v>0.08</v>
      </c>
      <c r="AD294" s="21">
        <v>0</v>
      </c>
      <c r="AE294" s="21">
        <v>8.32</v>
      </c>
      <c r="AF294" s="21">
        <v>7.8</v>
      </c>
      <c r="AG294" s="21">
        <v>15</v>
      </c>
      <c r="AH294" s="18" t="s">
        <v>33</v>
      </c>
      <c r="AI294" s="13" t="str">
        <f>VLOOKUP(AH294,'Hess and Brezowsky'!$B$2:$G$31,2,FALSE)</f>
        <v>Mixed</v>
      </c>
      <c r="AJ294" s="18" t="str">
        <f>VLOOKUP(AH294,'Hess and Brezowsky'!$B$2:$G$31,3,FALSE)</f>
        <v>C</v>
      </c>
      <c r="AK294" s="13" t="str">
        <f>VLOOKUP(AH294,'Hess and Brezowsky'!$B$2:$G$31,4,FALSE)</f>
        <v>Cyclonic South-Westerly</v>
      </c>
      <c r="AL294" s="29">
        <v>0.23386574074074074</v>
      </c>
      <c r="AM294" s="29">
        <v>0.49768518518518517</v>
      </c>
      <c r="AN294" s="30">
        <v>0.76150462962962961</v>
      </c>
    </row>
    <row r="295" spans="1:40" ht="15.75" customHeight="1" x14ac:dyDescent="0.2">
      <c r="A295" s="27">
        <v>45015</v>
      </c>
      <c r="B295" s="13">
        <v>2023</v>
      </c>
      <c r="C295" s="13">
        <v>89</v>
      </c>
      <c r="D295" s="13">
        <f t="shared" si="11"/>
        <v>5</v>
      </c>
      <c r="E295" s="13"/>
      <c r="F295" s="13">
        <f t="shared" si="10"/>
        <v>3</v>
      </c>
      <c r="G295" s="14">
        <v>1</v>
      </c>
      <c r="H295" s="14">
        <v>0</v>
      </c>
      <c r="I295" s="14">
        <v>1</v>
      </c>
      <c r="J295" s="14">
        <v>0</v>
      </c>
      <c r="K295" s="14">
        <v>0</v>
      </c>
      <c r="L295" s="14">
        <v>1</v>
      </c>
      <c r="M295" s="15">
        <v>229.02799999999999</v>
      </c>
      <c r="N295" s="16" t="str">
        <f t="shared" si="12"/>
        <v>SW</v>
      </c>
      <c r="O295" s="17">
        <v>11.2</v>
      </c>
      <c r="P295" s="16" t="s">
        <v>137</v>
      </c>
      <c r="Q295" s="18">
        <v>2.8</v>
      </c>
      <c r="R295" s="19">
        <v>14.71</v>
      </c>
      <c r="S295" s="19">
        <v>11.6</v>
      </c>
      <c r="T295" s="19">
        <v>17.899999999999999</v>
      </c>
      <c r="U295" s="20">
        <v>226.05</v>
      </c>
      <c r="V295" s="16" t="s">
        <v>5</v>
      </c>
      <c r="W295" s="21">
        <v>0</v>
      </c>
      <c r="X295" s="21">
        <v>0</v>
      </c>
      <c r="Y295" s="21">
        <v>0</v>
      </c>
      <c r="Z295" s="21">
        <v>0</v>
      </c>
      <c r="AA295" s="21">
        <v>0.08</v>
      </c>
      <c r="AB295" s="21">
        <v>0.88</v>
      </c>
      <c r="AC295" s="21">
        <v>0.04</v>
      </c>
      <c r="AD295" s="21">
        <v>0</v>
      </c>
      <c r="AE295" s="21">
        <v>10.7</v>
      </c>
      <c r="AF295" s="21">
        <v>10.39</v>
      </c>
      <c r="AG295" s="21">
        <v>15.1</v>
      </c>
      <c r="AH295" s="18" t="s">
        <v>33</v>
      </c>
      <c r="AI295" s="13" t="str">
        <f>VLOOKUP(AH295,'Hess and Brezowsky'!$B$2:$G$31,2,FALSE)</f>
        <v>Mixed</v>
      </c>
      <c r="AJ295" s="18" t="str">
        <f>VLOOKUP(AH295,'Hess and Brezowsky'!$B$2:$G$31,3,FALSE)</f>
        <v>C</v>
      </c>
      <c r="AK295" s="13" t="str">
        <f>VLOOKUP(AH295,'Hess and Brezowsky'!$B$2:$G$31,4,FALSE)</f>
        <v>Cyclonic South-Westerly</v>
      </c>
      <c r="AL295" s="29">
        <v>0.2324074074074074</v>
      </c>
      <c r="AM295" s="29">
        <v>0.49747685185185186</v>
      </c>
      <c r="AN295" s="30">
        <v>0.76253472222222218</v>
      </c>
    </row>
    <row r="296" spans="1:40" ht="15.75" customHeight="1" x14ac:dyDescent="0.2">
      <c r="A296" s="27">
        <v>45016</v>
      </c>
      <c r="B296" s="13">
        <v>2023</v>
      </c>
      <c r="C296" s="13">
        <v>90</v>
      </c>
      <c r="D296" s="13">
        <f t="shared" si="11"/>
        <v>6</v>
      </c>
      <c r="E296" s="13"/>
      <c r="F296" s="13">
        <f t="shared" si="10"/>
        <v>3</v>
      </c>
      <c r="G296" s="14">
        <v>1</v>
      </c>
      <c r="H296" s="14">
        <v>0</v>
      </c>
      <c r="I296" s="14">
        <v>1</v>
      </c>
      <c r="J296" s="14">
        <v>0</v>
      </c>
      <c r="K296" s="14">
        <v>0</v>
      </c>
      <c r="L296" s="14">
        <v>1</v>
      </c>
      <c r="M296" s="15">
        <v>234.38200000000001</v>
      </c>
      <c r="N296" s="16" t="str">
        <f t="shared" si="12"/>
        <v>SW</v>
      </c>
      <c r="O296" s="17">
        <v>14.5</v>
      </c>
      <c r="P296" s="16" t="s">
        <v>137</v>
      </c>
      <c r="Q296" s="18">
        <v>5.3</v>
      </c>
      <c r="R296" s="19">
        <v>12.56</v>
      </c>
      <c r="S296" s="19">
        <v>10.199999999999999</v>
      </c>
      <c r="T296" s="19">
        <v>15.7</v>
      </c>
      <c r="U296" s="20">
        <v>233.46</v>
      </c>
      <c r="V296" s="16" t="s">
        <v>5</v>
      </c>
      <c r="W296" s="21">
        <v>0</v>
      </c>
      <c r="X296" s="21">
        <v>0</v>
      </c>
      <c r="Y296" s="21">
        <v>0</v>
      </c>
      <c r="Z296" s="21">
        <v>0</v>
      </c>
      <c r="AA296" s="21">
        <v>0.08</v>
      </c>
      <c r="AB296" s="21">
        <v>0.71</v>
      </c>
      <c r="AC296" s="21">
        <v>0.21</v>
      </c>
      <c r="AD296" s="21">
        <v>0</v>
      </c>
      <c r="AE296" s="21">
        <v>14.33</v>
      </c>
      <c r="AF296" s="21">
        <v>13.67</v>
      </c>
      <c r="AG296" s="21">
        <v>21</v>
      </c>
      <c r="AH296" s="18" t="s">
        <v>33</v>
      </c>
      <c r="AI296" s="13" t="str">
        <f>VLOOKUP(AH296,'Hess and Brezowsky'!$B$2:$G$31,2,FALSE)</f>
        <v>Mixed</v>
      </c>
      <c r="AJ296" s="18" t="str">
        <f>VLOOKUP(AH296,'Hess and Brezowsky'!$B$2:$G$31,3,FALSE)</f>
        <v>C</v>
      </c>
      <c r="AK296" s="13" t="str">
        <f>VLOOKUP(AH296,'Hess and Brezowsky'!$B$2:$G$31,4,FALSE)</f>
        <v>Cyclonic South-Westerly</v>
      </c>
      <c r="AL296" s="29">
        <v>0.23093749999999999</v>
      </c>
      <c r="AM296" s="29">
        <v>0.49725694444444446</v>
      </c>
      <c r="AN296" s="30">
        <v>0.7635763888888889</v>
      </c>
    </row>
    <row r="297" spans="1:40" ht="15.75" customHeight="1" x14ac:dyDescent="0.2">
      <c r="A297" s="27">
        <v>45017</v>
      </c>
      <c r="B297" s="13">
        <v>2023</v>
      </c>
      <c r="C297" s="13">
        <v>91</v>
      </c>
      <c r="D297" s="13">
        <f t="shared" si="11"/>
        <v>7</v>
      </c>
      <c r="E297" s="13"/>
      <c r="F297" s="13">
        <f t="shared" si="10"/>
        <v>3</v>
      </c>
      <c r="G297" s="14">
        <v>1</v>
      </c>
      <c r="H297" s="14">
        <v>0</v>
      </c>
      <c r="I297" s="14">
        <v>1</v>
      </c>
      <c r="J297" s="14">
        <v>0</v>
      </c>
      <c r="K297" s="14">
        <v>0</v>
      </c>
      <c r="L297" s="14">
        <v>1</v>
      </c>
      <c r="M297" s="15">
        <v>281.24400000000003</v>
      </c>
      <c r="N297" s="16" t="str">
        <f t="shared" si="12"/>
        <v>W</v>
      </c>
      <c r="O297" s="17">
        <v>11.5</v>
      </c>
      <c r="P297" s="16" t="s">
        <v>137</v>
      </c>
      <c r="Q297" s="18">
        <v>2</v>
      </c>
      <c r="R297" s="19">
        <v>11.62</v>
      </c>
      <c r="S297" s="19">
        <v>10</v>
      </c>
      <c r="T297" s="19">
        <v>15.4</v>
      </c>
      <c r="U297" s="20">
        <v>274.26</v>
      </c>
      <c r="V297" s="16" t="s">
        <v>16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0.62</v>
      </c>
      <c r="AD297" s="21">
        <v>0.38</v>
      </c>
      <c r="AE297" s="21">
        <v>12.92</v>
      </c>
      <c r="AF297" s="21">
        <v>12.09</v>
      </c>
      <c r="AG297" s="21">
        <v>18.7</v>
      </c>
      <c r="AH297" s="18" t="s">
        <v>12</v>
      </c>
      <c r="AI297" s="13" t="str">
        <f>VLOOKUP(AH297,'Hess and Brezowsky'!$B$2:$G$31,2,FALSE)</f>
        <v>Undefined</v>
      </c>
      <c r="AJ297" s="18" t="str">
        <f>VLOOKUP(AH297,'Hess and Brezowsky'!$B$2:$G$31,3,FALSE)</f>
        <v>M</v>
      </c>
      <c r="AK297" s="13" t="str">
        <f>VLOOKUP(AH297,'Hess and Brezowsky'!$B$2:$G$31,4,FALSE)</f>
        <v>Transistion / Undefined</v>
      </c>
      <c r="AL297" s="29">
        <v>0.22947916666666668</v>
      </c>
      <c r="AM297" s="29">
        <v>0.49703703703703705</v>
      </c>
      <c r="AN297" s="30">
        <v>0.76460648148148147</v>
      </c>
    </row>
    <row r="298" spans="1:40" ht="15.75" customHeight="1" x14ac:dyDescent="0.2">
      <c r="A298" s="27">
        <v>45018</v>
      </c>
      <c r="B298" s="13">
        <v>2023</v>
      </c>
      <c r="C298" s="13">
        <v>92</v>
      </c>
      <c r="D298" s="13">
        <f t="shared" si="11"/>
        <v>1</v>
      </c>
      <c r="E298" s="13"/>
      <c r="F298" s="13">
        <f t="shared" si="10"/>
        <v>3</v>
      </c>
      <c r="G298" s="14">
        <v>1</v>
      </c>
      <c r="H298" s="14">
        <v>0</v>
      </c>
      <c r="I298" s="14">
        <v>1</v>
      </c>
      <c r="J298" s="14">
        <v>0</v>
      </c>
      <c r="K298" s="14">
        <v>0</v>
      </c>
      <c r="L298" s="14">
        <v>1</v>
      </c>
      <c r="M298" s="15">
        <v>350.85700000000003</v>
      </c>
      <c r="N298" s="16" t="str">
        <f t="shared" si="12"/>
        <v>N</v>
      </c>
      <c r="O298" s="17">
        <v>9.1999999999999993</v>
      </c>
      <c r="P298" s="16" t="s">
        <v>140</v>
      </c>
      <c r="Q298" s="18">
        <v>0.8</v>
      </c>
      <c r="R298" s="19">
        <v>8.1300000000000008</v>
      </c>
      <c r="S298" s="19">
        <v>6.5</v>
      </c>
      <c r="T298" s="19">
        <v>10</v>
      </c>
      <c r="U298" s="20">
        <v>341.91</v>
      </c>
      <c r="V298" s="16" t="s">
        <v>7</v>
      </c>
      <c r="W298" s="21">
        <v>0.54</v>
      </c>
      <c r="X298" s="21">
        <v>0.08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0.38</v>
      </c>
      <c r="AE298" s="21">
        <v>9.51</v>
      </c>
      <c r="AF298" s="21">
        <v>8.89</v>
      </c>
      <c r="AG298" s="21">
        <v>12.7</v>
      </c>
      <c r="AH298" s="18" t="s">
        <v>24</v>
      </c>
      <c r="AI298" s="13" t="str">
        <f>VLOOKUP(AH298,'Hess and Brezowsky'!$B$2:$G$31,2,FALSE)</f>
        <v>Meridional</v>
      </c>
      <c r="AJ298" s="18" t="str">
        <f>VLOOKUP(AH298,'Hess and Brezowsky'!$B$2:$G$31,3,FALSE)</f>
        <v>A</v>
      </c>
      <c r="AK298" s="13" t="str">
        <f>VLOOKUP(AH298,'Hess and Brezowsky'!$B$2:$G$31,4,FALSE)</f>
        <v>Anticyclonic North-Easterly</v>
      </c>
      <c r="AL298" s="29">
        <v>0.22802083333333334</v>
      </c>
      <c r="AM298" s="29">
        <v>0.49682870370370369</v>
      </c>
      <c r="AN298" s="30">
        <v>0.76563657407407404</v>
      </c>
    </row>
    <row r="299" spans="1:40" ht="15.75" customHeight="1" x14ac:dyDescent="0.2">
      <c r="A299" s="27">
        <v>45019</v>
      </c>
      <c r="B299" s="13">
        <v>2023</v>
      </c>
      <c r="C299" s="13">
        <v>93</v>
      </c>
      <c r="D299" s="13">
        <f t="shared" si="11"/>
        <v>2</v>
      </c>
      <c r="E299" s="13"/>
      <c r="F299" s="13">
        <f t="shared" si="10"/>
        <v>3</v>
      </c>
      <c r="G299" s="14">
        <v>1</v>
      </c>
      <c r="H299" s="14">
        <v>0</v>
      </c>
      <c r="I299" s="14">
        <v>1</v>
      </c>
      <c r="J299" s="14">
        <v>0</v>
      </c>
      <c r="K299" s="14">
        <v>0</v>
      </c>
      <c r="L299" s="14">
        <v>1</v>
      </c>
      <c r="M299" s="15">
        <v>54.761000000000003</v>
      </c>
      <c r="N299" s="16" t="str">
        <f t="shared" si="12"/>
        <v>NE</v>
      </c>
      <c r="O299" s="17">
        <v>7.6</v>
      </c>
      <c r="P299" s="16" t="s">
        <v>138</v>
      </c>
      <c r="Q299" s="18">
        <v>0</v>
      </c>
      <c r="R299" s="19">
        <v>8.5500000000000007</v>
      </c>
      <c r="S299" s="19">
        <v>5.4</v>
      </c>
      <c r="T299" s="19">
        <v>12.7</v>
      </c>
      <c r="U299" s="20">
        <v>54.4</v>
      </c>
      <c r="V299" s="16" t="s">
        <v>10</v>
      </c>
      <c r="W299" s="21">
        <v>0</v>
      </c>
      <c r="X299" s="21">
        <v>0.88</v>
      </c>
      <c r="Y299" s="21">
        <v>0.12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7.46</v>
      </c>
      <c r="AF299" s="21">
        <v>7.12</v>
      </c>
      <c r="AG299" s="21">
        <v>11.8</v>
      </c>
      <c r="AH299" s="18" t="s">
        <v>24</v>
      </c>
      <c r="AI299" s="13" t="str">
        <f>VLOOKUP(AH299,'Hess and Brezowsky'!$B$2:$G$31,2,FALSE)</f>
        <v>Meridional</v>
      </c>
      <c r="AJ299" s="18" t="str">
        <f>VLOOKUP(AH299,'Hess and Brezowsky'!$B$2:$G$31,3,FALSE)</f>
        <v>A</v>
      </c>
      <c r="AK299" s="13" t="str">
        <f>VLOOKUP(AH299,'Hess and Brezowsky'!$B$2:$G$31,4,FALSE)</f>
        <v>Anticyclonic North-Easterly</v>
      </c>
      <c r="AL299" s="29">
        <v>0.2265625</v>
      </c>
      <c r="AM299" s="29">
        <v>0.49662037037037038</v>
      </c>
      <c r="AN299" s="30">
        <v>0.76666666666666672</v>
      </c>
    </row>
    <row r="300" spans="1:40" ht="15.75" customHeight="1" x14ac:dyDescent="0.2">
      <c r="A300" s="27">
        <v>45020</v>
      </c>
      <c r="B300" s="13">
        <v>2023</v>
      </c>
      <c r="C300" s="13">
        <v>94</v>
      </c>
      <c r="D300" s="13">
        <f t="shared" si="11"/>
        <v>3</v>
      </c>
      <c r="E300" s="13"/>
      <c r="F300" s="13">
        <f t="shared" si="10"/>
        <v>3</v>
      </c>
      <c r="G300" s="14">
        <v>1</v>
      </c>
      <c r="H300" s="14">
        <v>0</v>
      </c>
      <c r="I300" s="14">
        <v>1</v>
      </c>
      <c r="J300" s="14">
        <v>0</v>
      </c>
      <c r="K300" s="14">
        <v>0</v>
      </c>
      <c r="L300" s="14">
        <v>1</v>
      </c>
      <c r="M300" s="15">
        <v>59.09</v>
      </c>
      <c r="N300" s="16" t="str">
        <f t="shared" si="12"/>
        <v>NE</v>
      </c>
      <c r="O300" s="17">
        <v>6.6</v>
      </c>
      <c r="P300" s="16" t="s">
        <v>139</v>
      </c>
      <c r="Q300" s="18">
        <v>0</v>
      </c>
      <c r="R300" s="19">
        <v>7.81</v>
      </c>
      <c r="S300" s="19">
        <v>2.8</v>
      </c>
      <c r="T300" s="19">
        <v>13</v>
      </c>
      <c r="U300" s="20">
        <v>56.94</v>
      </c>
      <c r="V300" s="16" t="s">
        <v>10</v>
      </c>
      <c r="W300" s="21">
        <v>0.12</v>
      </c>
      <c r="X300" s="21">
        <v>0.54</v>
      </c>
      <c r="Y300" s="21">
        <v>0.33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6.32</v>
      </c>
      <c r="AF300" s="21">
        <v>5.67</v>
      </c>
      <c r="AG300" s="21">
        <v>10.4</v>
      </c>
      <c r="AH300" s="18" t="s">
        <v>24</v>
      </c>
      <c r="AI300" s="13" t="str">
        <f>VLOOKUP(AH300,'Hess and Brezowsky'!$B$2:$G$31,2,FALSE)</f>
        <v>Meridional</v>
      </c>
      <c r="AJ300" s="18" t="str">
        <f>VLOOKUP(AH300,'Hess and Brezowsky'!$B$2:$G$31,3,FALSE)</f>
        <v>A</v>
      </c>
      <c r="AK300" s="13" t="str">
        <f>VLOOKUP(AH300,'Hess and Brezowsky'!$B$2:$G$31,4,FALSE)</f>
        <v>Anticyclonic North-Easterly</v>
      </c>
      <c r="AL300" s="29">
        <v>0.22511574074074073</v>
      </c>
      <c r="AM300" s="29">
        <v>0.49641203703703701</v>
      </c>
      <c r="AN300" s="30">
        <v>0.76769675925925929</v>
      </c>
    </row>
    <row r="301" spans="1:40" ht="15.75" customHeight="1" x14ac:dyDescent="0.2">
      <c r="A301" s="27">
        <v>45021</v>
      </c>
      <c r="B301" s="13">
        <v>2023</v>
      </c>
      <c r="C301" s="13">
        <v>95</v>
      </c>
      <c r="D301" s="13">
        <f t="shared" si="11"/>
        <v>4</v>
      </c>
      <c r="E301" s="13"/>
      <c r="F301" s="13">
        <f t="shared" si="10"/>
        <v>3</v>
      </c>
      <c r="G301" s="14">
        <v>1</v>
      </c>
      <c r="H301" s="14">
        <v>0</v>
      </c>
      <c r="I301" s="14">
        <v>1</v>
      </c>
      <c r="J301" s="14">
        <v>0</v>
      </c>
      <c r="K301" s="14">
        <v>0</v>
      </c>
      <c r="L301" s="14">
        <v>1</v>
      </c>
      <c r="M301" s="15">
        <v>332.93799999999999</v>
      </c>
      <c r="N301" s="16" t="str">
        <f t="shared" si="12"/>
        <v>NW</v>
      </c>
      <c r="O301" s="17">
        <v>2.5</v>
      </c>
      <c r="P301" s="16" t="s">
        <v>138</v>
      </c>
      <c r="Q301" s="18">
        <v>0</v>
      </c>
      <c r="R301" s="19">
        <v>9.9499999999999993</v>
      </c>
      <c r="S301" s="19">
        <v>3.5</v>
      </c>
      <c r="T301" s="19">
        <v>16.3</v>
      </c>
      <c r="U301" s="20">
        <v>322.58</v>
      </c>
      <c r="V301" s="16" t="s">
        <v>6</v>
      </c>
      <c r="W301" s="21">
        <v>0.04</v>
      </c>
      <c r="X301" s="21">
        <v>0.12</v>
      </c>
      <c r="Y301" s="21">
        <v>0.08</v>
      </c>
      <c r="Z301" s="21">
        <v>0.04</v>
      </c>
      <c r="AA301" s="21">
        <v>0</v>
      </c>
      <c r="AB301" s="21">
        <v>0</v>
      </c>
      <c r="AC301" s="21">
        <v>0.21</v>
      </c>
      <c r="AD301" s="21">
        <v>0.5</v>
      </c>
      <c r="AE301" s="21">
        <v>2.23</v>
      </c>
      <c r="AF301" s="21">
        <v>1.38</v>
      </c>
      <c r="AG301" s="21">
        <v>5.9</v>
      </c>
      <c r="AH301" s="18" t="s">
        <v>24</v>
      </c>
      <c r="AI301" s="13" t="str">
        <f>VLOOKUP(AH301,'Hess and Brezowsky'!$B$2:$G$31,2,FALSE)</f>
        <v>Meridional</v>
      </c>
      <c r="AJ301" s="18" t="str">
        <f>VLOOKUP(AH301,'Hess and Brezowsky'!$B$2:$G$31,3,FALSE)</f>
        <v>A</v>
      </c>
      <c r="AK301" s="13" t="str">
        <f>VLOOKUP(AH301,'Hess and Brezowsky'!$B$2:$G$31,4,FALSE)</f>
        <v>Anticyclonic North-Easterly</v>
      </c>
      <c r="AL301" s="29">
        <v>0.22366898148148148</v>
      </c>
      <c r="AM301" s="29">
        <v>0.4962037037037037</v>
      </c>
      <c r="AN301" s="30">
        <v>0.76872685185185186</v>
      </c>
    </row>
    <row r="302" spans="1:40" ht="15.75" customHeight="1" x14ac:dyDescent="0.2">
      <c r="A302" s="27">
        <v>45022</v>
      </c>
      <c r="B302" s="13">
        <v>2023</v>
      </c>
      <c r="C302" s="13">
        <v>96</v>
      </c>
      <c r="D302" s="13">
        <f t="shared" si="11"/>
        <v>5</v>
      </c>
      <c r="E302" s="13"/>
      <c r="F302" s="13">
        <f t="shared" si="10"/>
        <v>3</v>
      </c>
      <c r="G302" s="14">
        <v>1</v>
      </c>
      <c r="H302" s="14">
        <v>0</v>
      </c>
      <c r="I302" s="14">
        <v>1</v>
      </c>
      <c r="J302" s="14">
        <v>0</v>
      </c>
      <c r="K302" s="14">
        <v>0</v>
      </c>
      <c r="L302" s="14">
        <v>1</v>
      </c>
      <c r="M302" s="15">
        <v>275.60700000000003</v>
      </c>
      <c r="N302" s="16" t="str">
        <f t="shared" si="12"/>
        <v>W</v>
      </c>
      <c r="O302" s="17">
        <v>6.3</v>
      </c>
      <c r="P302" s="16" t="s">
        <v>137</v>
      </c>
      <c r="Q302" s="18">
        <v>0.4</v>
      </c>
      <c r="R302" s="19">
        <v>11.69</v>
      </c>
      <c r="S302" s="19">
        <v>9.1</v>
      </c>
      <c r="T302" s="19">
        <v>15.8</v>
      </c>
      <c r="U302" s="20">
        <v>276.43</v>
      </c>
      <c r="V302" s="16" t="s">
        <v>16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0.17</v>
      </c>
      <c r="AC302" s="21">
        <v>0.46</v>
      </c>
      <c r="AD302" s="21">
        <v>0.38</v>
      </c>
      <c r="AE302" s="21">
        <v>6.72</v>
      </c>
      <c r="AF302" s="21">
        <v>5.97</v>
      </c>
      <c r="AG302" s="21">
        <v>13.9</v>
      </c>
      <c r="AH302" s="18" t="s">
        <v>12</v>
      </c>
      <c r="AI302" s="13" t="str">
        <f>VLOOKUP(AH302,'Hess and Brezowsky'!$B$2:$G$31,2,FALSE)</f>
        <v>Undefined</v>
      </c>
      <c r="AJ302" s="18" t="str">
        <f>VLOOKUP(AH302,'Hess and Brezowsky'!$B$2:$G$31,3,FALSE)</f>
        <v>M</v>
      </c>
      <c r="AK302" s="13" t="str">
        <f>VLOOKUP(AH302,'Hess and Brezowsky'!$B$2:$G$31,4,FALSE)</f>
        <v>Transistion / Undefined</v>
      </c>
      <c r="AL302" s="29">
        <v>0.2222337962962963</v>
      </c>
      <c r="AM302" s="29">
        <v>0.49599537037037039</v>
      </c>
      <c r="AN302" s="30">
        <v>0.76975694444444442</v>
      </c>
    </row>
    <row r="303" spans="1:40" ht="15.75" customHeight="1" x14ac:dyDescent="0.2">
      <c r="A303" s="27">
        <v>45023</v>
      </c>
      <c r="B303" s="13">
        <v>2023</v>
      </c>
      <c r="C303" s="13">
        <v>97</v>
      </c>
      <c r="D303" s="13">
        <f t="shared" si="11"/>
        <v>6</v>
      </c>
      <c r="E303" s="13"/>
      <c r="F303" s="13">
        <f t="shared" si="10"/>
        <v>3</v>
      </c>
      <c r="G303" s="14">
        <v>1</v>
      </c>
      <c r="H303" s="14">
        <v>0</v>
      </c>
      <c r="I303" s="14">
        <v>1</v>
      </c>
      <c r="J303" s="14">
        <v>0</v>
      </c>
      <c r="K303" s="14">
        <v>0</v>
      </c>
      <c r="L303" s="14">
        <v>1</v>
      </c>
      <c r="M303" s="15">
        <v>353.63</v>
      </c>
      <c r="N303" s="16" t="str">
        <f t="shared" si="12"/>
        <v>N</v>
      </c>
      <c r="O303" s="17">
        <v>6.6</v>
      </c>
      <c r="P303" s="16" t="s">
        <v>137</v>
      </c>
      <c r="Q303" s="18">
        <v>0</v>
      </c>
      <c r="R303" s="19">
        <v>10.55</v>
      </c>
      <c r="S303" s="19">
        <v>7.4</v>
      </c>
      <c r="T303" s="19">
        <v>14.8</v>
      </c>
      <c r="U303" s="20">
        <v>346.54</v>
      </c>
      <c r="V303" s="16" t="s">
        <v>7</v>
      </c>
      <c r="W303" s="21">
        <v>0.38</v>
      </c>
      <c r="X303" s="21">
        <v>0.21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0.42</v>
      </c>
      <c r="AE303" s="21">
        <v>6.81</v>
      </c>
      <c r="AF303" s="21">
        <v>5.57</v>
      </c>
      <c r="AG303" s="21">
        <v>13</v>
      </c>
      <c r="AH303" s="18" t="s">
        <v>41</v>
      </c>
      <c r="AI303" s="13" t="str">
        <f>VLOOKUP(AH303,'Hess and Brezowsky'!$B$2:$G$31,2,FALSE)</f>
        <v>Meridional</v>
      </c>
      <c r="AJ303" s="18" t="str">
        <f>VLOOKUP(AH303,'Hess and Brezowsky'!$B$2:$G$31,3,FALSE)</f>
        <v>A</v>
      </c>
      <c r="AK303" s="13" t="str">
        <f>VLOOKUP(AH303,'Hess and Brezowsky'!$B$2:$G$31,4,FALSE)</f>
        <v>Scandinavian High, Ridge Central Europe</v>
      </c>
      <c r="AL303" s="29">
        <v>0.2207986111111111</v>
      </c>
      <c r="AM303" s="29">
        <v>0.49579861111111112</v>
      </c>
      <c r="AN303" s="30">
        <v>0.77078703703703699</v>
      </c>
    </row>
    <row r="304" spans="1:40" ht="15.75" customHeight="1" x14ac:dyDescent="0.2">
      <c r="A304" s="27">
        <v>45024</v>
      </c>
      <c r="B304" s="13">
        <v>2023</v>
      </c>
      <c r="C304" s="13">
        <v>98</v>
      </c>
      <c r="D304" s="13">
        <f t="shared" si="11"/>
        <v>7</v>
      </c>
      <c r="E304" s="13"/>
      <c r="F304" s="13">
        <f t="shared" si="10"/>
        <v>3</v>
      </c>
      <c r="G304" s="14">
        <v>1</v>
      </c>
      <c r="H304" s="14">
        <v>0</v>
      </c>
      <c r="I304" s="14">
        <v>1</v>
      </c>
      <c r="J304" s="14">
        <v>0</v>
      </c>
      <c r="K304" s="14">
        <v>0</v>
      </c>
      <c r="L304" s="14">
        <v>1</v>
      </c>
      <c r="M304" s="15">
        <v>47.558999999999997</v>
      </c>
      <c r="N304" s="16" t="str">
        <f t="shared" si="12"/>
        <v>NE</v>
      </c>
      <c r="O304" s="17">
        <v>5.8</v>
      </c>
      <c r="P304" s="16" t="s">
        <v>137</v>
      </c>
      <c r="Q304" s="18">
        <v>0</v>
      </c>
      <c r="R304" s="19">
        <v>10.23</v>
      </c>
      <c r="S304" s="19">
        <v>5.2</v>
      </c>
      <c r="T304" s="19">
        <v>16.2</v>
      </c>
      <c r="U304" s="20">
        <v>45.62</v>
      </c>
      <c r="V304" s="16" t="s">
        <v>10</v>
      </c>
      <c r="W304" s="21">
        <v>0.08</v>
      </c>
      <c r="X304" s="21">
        <v>0.88</v>
      </c>
      <c r="Y304" s="21">
        <v>0.04</v>
      </c>
      <c r="Z304" s="21">
        <v>0</v>
      </c>
      <c r="AA304" s="21">
        <v>0</v>
      </c>
      <c r="AB304" s="21">
        <v>0</v>
      </c>
      <c r="AC304" s="21">
        <v>0</v>
      </c>
      <c r="AD304" s="21">
        <v>0</v>
      </c>
      <c r="AE304" s="21">
        <v>5.81</v>
      </c>
      <c r="AF304" s="21">
        <v>5.66</v>
      </c>
      <c r="AG304" s="21">
        <v>8.9</v>
      </c>
      <c r="AH304" s="18" t="s">
        <v>41</v>
      </c>
      <c r="AI304" s="13" t="str">
        <f>VLOOKUP(AH304,'Hess and Brezowsky'!$B$2:$G$31,2,FALSE)</f>
        <v>Meridional</v>
      </c>
      <c r="AJ304" s="18" t="str">
        <f>VLOOKUP(AH304,'Hess and Brezowsky'!$B$2:$G$31,3,FALSE)</f>
        <v>A</v>
      </c>
      <c r="AK304" s="13" t="str">
        <f>VLOOKUP(AH304,'Hess and Brezowsky'!$B$2:$G$31,4,FALSE)</f>
        <v>Scandinavian High, Ridge Central Europe</v>
      </c>
      <c r="AL304" s="29">
        <v>0.21937499999999999</v>
      </c>
      <c r="AM304" s="29">
        <v>0.49560185185185185</v>
      </c>
      <c r="AN304" s="30">
        <v>0.77182870370370371</v>
      </c>
    </row>
    <row r="305" spans="1:40" ht="15.75" customHeight="1" x14ac:dyDescent="0.2">
      <c r="A305" s="27">
        <v>45025</v>
      </c>
      <c r="B305" s="13">
        <v>2023</v>
      </c>
      <c r="C305" s="13">
        <v>99</v>
      </c>
      <c r="D305" s="13">
        <f t="shared" si="11"/>
        <v>1</v>
      </c>
      <c r="E305" s="13"/>
      <c r="F305" s="13">
        <f t="shared" si="10"/>
        <v>3</v>
      </c>
      <c r="G305" s="14">
        <v>1</v>
      </c>
      <c r="H305" s="14">
        <v>0</v>
      </c>
      <c r="I305" s="14">
        <v>1</v>
      </c>
      <c r="J305" s="14">
        <v>0</v>
      </c>
      <c r="K305" s="14">
        <v>0</v>
      </c>
      <c r="L305" s="14">
        <v>1</v>
      </c>
      <c r="M305" s="15">
        <v>127.572</v>
      </c>
      <c r="N305" s="16" t="str">
        <f t="shared" si="12"/>
        <v>SE</v>
      </c>
      <c r="O305" s="17">
        <v>4.7</v>
      </c>
      <c r="P305" s="16" t="s">
        <v>137</v>
      </c>
      <c r="Q305" s="18">
        <v>0</v>
      </c>
      <c r="R305" s="19">
        <v>12.77</v>
      </c>
      <c r="S305" s="19">
        <v>6.4</v>
      </c>
      <c r="T305" s="19">
        <v>18.899999999999999</v>
      </c>
      <c r="U305" s="20">
        <v>134.16999999999999</v>
      </c>
      <c r="V305" s="16" t="s">
        <v>11</v>
      </c>
      <c r="W305" s="21">
        <v>0</v>
      </c>
      <c r="X305" s="21">
        <v>0</v>
      </c>
      <c r="Y305" s="21">
        <v>0.17</v>
      </c>
      <c r="Z305" s="21">
        <v>0.83</v>
      </c>
      <c r="AA305" s="21">
        <v>0</v>
      </c>
      <c r="AB305" s="21">
        <v>0</v>
      </c>
      <c r="AC305" s="21">
        <v>0</v>
      </c>
      <c r="AD305" s="21">
        <v>0</v>
      </c>
      <c r="AE305" s="21">
        <v>4.78</v>
      </c>
      <c r="AF305" s="21">
        <v>4.62</v>
      </c>
      <c r="AG305" s="21">
        <v>10.8</v>
      </c>
      <c r="AH305" s="18" t="s">
        <v>41</v>
      </c>
      <c r="AI305" s="13" t="str">
        <f>VLOOKUP(AH305,'Hess and Brezowsky'!$B$2:$G$31,2,FALSE)</f>
        <v>Meridional</v>
      </c>
      <c r="AJ305" s="18" t="str">
        <f>VLOOKUP(AH305,'Hess and Brezowsky'!$B$2:$G$31,3,FALSE)</f>
        <v>A</v>
      </c>
      <c r="AK305" s="13" t="str">
        <f>VLOOKUP(AH305,'Hess and Brezowsky'!$B$2:$G$31,4,FALSE)</f>
        <v>Scandinavian High, Ridge Central Europe</v>
      </c>
      <c r="AL305" s="29">
        <v>0.21795138888888888</v>
      </c>
      <c r="AM305" s="29">
        <v>0.49540509259259258</v>
      </c>
      <c r="AN305" s="30">
        <v>0.77285879629629628</v>
      </c>
    </row>
    <row r="306" spans="1:40" ht="15.75" customHeight="1" x14ac:dyDescent="0.2">
      <c r="A306" s="27">
        <v>45026</v>
      </c>
      <c r="B306" s="13">
        <v>2023</v>
      </c>
      <c r="C306" s="13">
        <v>100</v>
      </c>
      <c r="D306" s="13">
        <f t="shared" si="11"/>
        <v>2</v>
      </c>
      <c r="E306" s="13"/>
      <c r="F306" s="13">
        <f t="shared" si="10"/>
        <v>3</v>
      </c>
      <c r="G306" s="14">
        <v>1</v>
      </c>
      <c r="H306" s="14">
        <v>0</v>
      </c>
      <c r="I306" s="14">
        <v>1</v>
      </c>
      <c r="J306" s="14">
        <v>0</v>
      </c>
      <c r="K306" s="14">
        <v>0</v>
      </c>
      <c r="L306" s="14">
        <v>1</v>
      </c>
      <c r="M306" s="15">
        <v>219.96799999999999</v>
      </c>
      <c r="N306" s="16" t="str">
        <f t="shared" si="12"/>
        <v>SW</v>
      </c>
      <c r="O306" s="17">
        <v>9.6999999999999993</v>
      </c>
      <c r="P306" s="16" t="s">
        <v>140</v>
      </c>
      <c r="Q306" s="18">
        <v>5.9</v>
      </c>
      <c r="R306" s="19">
        <v>12.64</v>
      </c>
      <c r="S306" s="19">
        <v>9.6</v>
      </c>
      <c r="T306" s="19">
        <v>17.2</v>
      </c>
      <c r="U306" s="20">
        <v>224.53</v>
      </c>
      <c r="V306" s="16" t="s">
        <v>5</v>
      </c>
      <c r="W306" s="21">
        <v>0</v>
      </c>
      <c r="X306" s="21">
        <v>0</v>
      </c>
      <c r="Y306" s="21">
        <v>0</v>
      </c>
      <c r="Z306" s="21">
        <v>0</v>
      </c>
      <c r="AA306" s="21">
        <v>0.33</v>
      </c>
      <c r="AB306" s="21">
        <v>0.38</v>
      </c>
      <c r="AC306" s="21">
        <v>0.28999999999999998</v>
      </c>
      <c r="AD306" s="21">
        <v>0</v>
      </c>
      <c r="AE306" s="21">
        <v>9.68</v>
      </c>
      <c r="AF306" s="21">
        <v>7.64</v>
      </c>
      <c r="AG306" s="21">
        <v>17.5</v>
      </c>
      <c r="AH306" s="18" t="s">
        <v>37</v>
      </c>
      <c r="AI306" s="13" t="str">
        <f>VLOOKUP(AH306,'Hess and Brezowsky'!$B$2:$G$31,2,FALSE)</f>
        <v>Zonal</v>
      </c>
      <c r="AJ306" s="18" t="str">
        <f>VLOOKUP(AH306,'Hess and Brezowsky'!$B$2:$G$31,3,FALSE)</f>
        <v>M</v>
      </c>
      <c r="AK306" s="13" t="str">
        <f>VLOOKUP(AH306,'Hess and Brezowsky'!$B$2:$G$31,4,FALSE)</f>
        <v>Maritime Westerly (Block Eastern Europe)</v>
      </c>
      <c r="AL306" s="29">
        <v>0.21652777777777779</v>
      </c>
      <c r="AM306" s="29">
        <v>0.49520833333333331</v>
      </c>
      <c r="AN306" s="30">
        <v>0.77388888888888885</v>
      </c>
    </row>
    <row r="307" spans="1:40" ht="15.75" customHeight="1" x14ac:dyDescent="0.2">
      <c r="A307" s="27">
        <v>45027</v>
      </c>
      <c r="B307" s="13">
        <v>2023</v>
      </c>
      <c r="C307" s="13">
        <v>101</v>
      </c>
      <c r="D307" s="13">
        <f t="shared" si="11"/>
        <v>3</v>
      </c>
      <c r="E307" s="13"/>
      <c r="F307" s="13">
        <f t="shared" si="10"/>
        <v>3</v>
      </c>
      <c r="G307" s="14">
        <v>1</v>
      </c>
      <c r="H307" s="14">
        <v>0</v>
      </c>
      <c r="I307" s="14">
        <v>1</v>
      </c>
      <c r="J307" s="14">
        <v>0</v>
      </c>
      <c r="K307" s="14">
        <v>0</v>
      </c>
      <c r="L307" s="14">
        <v>1</v>
      </c>
      <c r="M307" s="15">
        <v>228.79300000000001</v>
      </c>
      <c r="N307" s="16" t="str">
        <f t="shared" si="12"/>
        <v>SW</v>
      </c>
      <c r="O307" s="17">
        <v>8.5</v>
      </c>
      <c r="P307" s="16" t="s">
        <v>140</v>
      </c>
      <c r="Q307" s="18">
        <v>8.1</v>
      </c>
      <c r="R307" s="19">
        <v>10.5</v>
      </c>
      <c r="S307" s="19">
        <v>8.4</v>
      </c>
      <c r="T307" s="19">
        <v>13.9</v>
      </c>
      <c r="U307" s="20">
        <v>230.52</v>
      </c>
      <c r="V307" s="16" t="s">
        <v>5</v>
      </c>
      <c r="W307" s="21">
        <v>0</v>
      </c>
      <c r="X307" s="21">
        <v>0</v>
      </c>
      <c r="Y307" s="21">
        <v>0</v>
      </c>
      <c r="Z307" s="21">
        <v>0</v>
      </c>
      <c r="AA307" s="21">
        <v>0.28999999999999998</v>
      </c>
      <c r="AB307" s="21">
        <v>0.25</v>
      </c>
      <c r="AC307" s="21">
        <v>0.46</v>
      </c>
      <c r="AD307" s="21">
        <v>0</v>
      </c>
      <c r="AE307" s="21">
        <v>9.2100000000000009</v>
      </c>
      <c r="AF307" s="21">
        <v>7.35</v>
      </c>
      <c r="AG307" s="21">
        <v>15.2</v>
      </c>
      <c r="AH307" s="18" t="s">
        <v>37</v>
      </c>
      <c r="AI307" s="13" t="str">
        <f>VLOOKUP(AH307,'Hess and Brezowsky'!$B$2:$G$31,2,FALSE)</f>
        <v>Zonal</v>
      </c>
      <c r="AJ307" s="18" t="str">
        <f>VLOOKUP(AH307,'Hess and Brezowsky'!$B$2:$G$31,3,FALSE)</f>
        <v>M</v>
      </c>
      <c r="AK307" s="13" t="str">
        <f>VLOOKUP(AH307,'Hess and Brezowsky'!$B$2:$G$31,4,FALSE)</f>
        <v>Maritime Westerly (Block Eastern Europe)</v>
      </c>
      <c r="AL307" s="29">
        <v>0.21511574074074075</v>
      </c>
      <c r="AM307" s="29">
        <v>0.49502314814814813</v>
      </c>
      <c r="AN307" s="30">
        <v>0.77491898148148153</v>
      </c>
    </row>
    <row r="308" spans="1:40" ht="15.75" customHeight="1" x14ac:dyDescent="0.2">
      <c r="A308" s="27">
        <v>45028</v>
      </c>
      <c r="B308" s="13">
        <v>2023</v>
      </c>
      <c r="C308" s="13">
        <v>102</v>
      </c>
      <c r="D308" s="13">
        <f t="shared" si="11"/>
        <v>4</v>
      </c>
      <c r="E308" s="13"/>
      <c r="F308" s="13">
        <f t="shared" si="10"/>
        <v>3</v>
      </c>
      <c r="G308" s="14">
        <v>1</v>
      </c>
      <c r="H308" s="14">
        <v>0</v>
      </c>
      <c r="I308" s="14">
        <v>1</v>
      </c>
      <c r="J308" s="14">
        <v>0</v>
      </c>
      <c r="K308" s="14">
        <v>0</v>
      </c>
      <c r="L308" s="14">
        <v>1</v>
      </c>
      <c r="M308" s="15">
        <v>243.88900000000001</v>
      </c>
      <c r="N308" s="16" t="str">
        <f t="shared" si="12"/>
        <v>SW</v>
      </c>
      <c r="O308" s="17">
        <v>11.5</v>
      </c>
      <c r="P308" s="16" t="s">
        <v>137</v>
      </c>
      <c r="Q308" s="18">
        <v>9.6999999999999993</v>
      </c>
      <c r="R308" s="19">
        <v>9.85</v>
      </c>
      <c r="S308" s="19">
        <v>6.8</v>
      </c>
      <c r="T308" s="19">
        <v>14.4</v>
      </c>
      <c r="U308" s="20">
        <v>241.93</v>
      </c>
      <c r="V308" s="16" t="s">
        <v>5</v>
      </c>
      <c r="W308" s="21">
        <v>0</v>
      </c>
      <c r="X308" s="21">
        <v>0</v>
      </c>
      <c r="Y308" s="21">
        <v>0</v>
      </c>
      <c r="Z308" s="21">
        <v>0</v>
      </c>
      <c r="AA308" s="21">
        <v>0.12</v>
      </c>
      <c r="AB308" s="21">
        <v>0.5</v>
      </c>
      <c r="AC308" s="21">
        <v>0.33</v>
      </c>
      <c r="AD308" s="21">
        <v>0.04</v>
      </c>
      <c r="AE308" s="21">
        <v>12.41</v>
      </c>
      <c r="AF308" s="21">
        <v>11.43</v>
      </c>
      <c r="AG308" s="21">
        <v>20.9</v>
      </c>
      <c r="AH308" s="18" t="s">
        <v>37</v>
      </c>
      <c r="AI308" s="13" t="str">
        <f>VLOOKUP(AH308,'Hess and Brezowsky'!$B$2:$G$31,2,FALSE)</f>
        <v>Zonal</v>
      </c>
      <c r="AJ308" s="18" t="str">
        <f>VLOOKUP(AH308,'Hess and Brezowsky'!$B$2:$G$31,3,FALSE)</f>
        <v>M</v>
      </c>
      <c r="AK308" s="13" t="str">
        <f>VLOOKUP(AH308,'Hess and Brezowsky'!$B$2:$G$31,4,FALSE)</f>
        <v>Maritime Westerly (Block Eastern Europe)</v>
      </c>
      <c r="AL308" s="29">
        <v>0.21371527777777777</v>
      </c>
      <c r="AM308" s="29">
        <v>0.49483796296296295</v>
      </c>
      <c r="AN308" s="30">
        <v>0.77596064814814814</v>
      </c>
    </row>
    <row r="309" spans="1:40" ht="15.75" customHeight="1" x14ac:dyDescent="0.2">
      <c r="A309" s="27">
        <v>45029</v>
      </c>
      <c r="B309" s="13">
        <v>2023</v>
      </c>
      <c r="C309" s="13">
        <v>103</v>
      </c>
      <c r="D309" s="13">
        <f t="shared" si="11"/>
        <v>5</v>
      </c>
      <c r="E309" s="13"/>
      <c r="F309" s="13">
        <f t="shared" si="10"/>
        <v>3</v>
      </c>
      <c r="G309" s="14">
        <v>1</v>
      </c>
      <c r="H309" s="14">
        <v>0</v>
      </c>
      <c r="I309" s="14">
        <v>1</v>
      </c>
      <c r="J309" s="14">
        <v>0</v>
      </c>
      <c r="K309" s="14">
        <v>0</v>
      </c>
      <c r="L309" s="14">
        <v>1</v>
      </c>
      <c r="M309" s="15">
        <v>251.62899999999999</v>
      </c>
      <c r="N309" s="16" t="str">
        <f t="shared" si="12"/>
        <v>W</v>
      </c>
      <c r="O309" s="17">
        <v>8.4</v>
      </c>
      <c r="P309" s="16" t="s">
        <v>137</v>
      </c>
      <c r="Q309" s="18">
        <v>0.2</v>
      </c>
      <c r="R309" s="19">
        <v>9.74</v>
      </c>
      <c r="S309" s="19">
        <v>6.4</v>
      </c>
      <c r="T309" s="19">
        <v>14.2</v>
      </c>
      <c r="U309" s="20">
        <v>249.94</v>
      </c>
      <c r="V309" s="16" t="s">
        <v>16</v>
      </c>
      <c r="W309" s="21">
        <v>0</v>
      </c>
      <c r="X309" s="21">
        <v>0</v>
      </c>
      <c r="Y309" s="21">
        <v>0</v>
      </c>
      <c r="Z309" s="21">
        <v>0</v>
      </c>
      <c r="AA309" s="21">
        <v>0</v>
      </c>
      <c r="AB309" s="21">
        <v>0.42</v>
      </c>
      <c r="AC309" s="21">
        <v>0.57999999999999996</v>
      </c>
      <c r="AD309" s="21">
        <v>0</v>
      </c>
      <c r="AE309" s="21">
        <v>9.23</v>
      </c>
      <c r="AF309" s="21">
        <v>9.1199999999999992</v>
      </c>
      <c r="AG309" s="21">
        <v>17.600000000000001</v>
      </c>
      <c r="AH309" s="18" t="s">
        <v>17</v>
      </c>
      <c r="AI309" s="13" t="str">
        <f>VLOOKUP(AH309,'Hess and Brezowsky'!$B$2:$G$31,2,FALSE)</f>
        <v>Meridional</v>
      </c>
      <c r="AJ309" s="18" t="str">
        <f>VLOOKUP(AH309,'Hess and Brezowsky'!$B$2:$G$31,3,FALSE)</f>
        <v>C</v>
      </c>
      <c r="AK309" s="13" t="str">
        <f>VLOOKUP(AH309,'Hess and Brezowsky'!$B$2:$G$31,4,FALSE)</f>
        <v>Scandinavian High, Trough Central Europe</v>
      </c>
      <c r="AL309" s="29">
        <v>0.21232638888888888</v>
      </c>
      <c r="AM309" s="29">
        <v>0.49466435185185187</v>
      </c>
      <c r="AN309" s="30">
        <v>0.7769907407407407</v>
      </c>
    </row>
    <row r="310" spans="1:40" ht="15.75" customHeight="1" x14ac:dyDescent="0.2">
      <c r="A310" s="27">
        <v>45030</v>
      </c>
      <c r="B310" s="13">
        <v>2023</v>
      </c>
      <c r="C310" s="13">
        <v>104</v>
      </c>
      <c r="D310" s="13">
        <f t="shared" si="11"/>
        <v>6</v>
      </c>
      <c r="E310" s="13"/>
      <c r="F310" s="13">
        <f t="shared" ref="F310:F373" si="13">IF(G310 &gt; 0.5,1,0)+IF(H310 &gt; 0.5,1,0)+IF(I310 &gt; 0.5,1,0)+IF(J310 &gt; 0.5,1,0)+IF(K310 &gt; 0.5,1,0)+IF(L311 &gt; 0.5,1,0)</f>
        <v>3</v>
      </c>
      <c r="G310" s="14">
        <v>1</v>
      </c>
      <c r="H310" s="14">
        <v>0</v>
      </c>
      <c r="I310" s="14">
        <v>1</v>
      </c>
      <c r="J310" s="14">
        <v>0</v>
      </c>
      <c r="K310" s="14">
        <v>0</v>
      </c>
      <c r="L310" s="14">
        <v>1</v>
      </c>
      <c r="M310" s="15">
        <v>167.71299999999999</v>
      </c>
      <c r="N310" s="16" t="str">
        <f t="shared" si="12"/>
        <v>S</v>
      </c>
      <c r="O310" s="17">
        <v>6.5</v>
      </c>
      <c r="P310" s="16" t="s">
        <v>140</v>
      </c>
      <c r="Q310" s="18">
        <v>3</v>
      </c>
      <c r="R310" s="19">
        <v>7.51</v>
      </c>
      <c r="S310" s="19">
        <v>4.5999999999999996</v>
      </c>
      <c r="T310" s="19">
        <v>9.9</v>
      </c>
      <c r="U310" s="20">
        <v>167.98</v>
      </c>
      <c r="V310" s="16" t="s">
        <v>13</v>
      </c>
      <c r="W310" s="21">
        <v>0</v>
      </c>
      <c r="X310" s="21">
        <v>0</v>
      </c>
      <c r="Y310" s="21">
        <v>0</v>
      </c>
      <c r="Z310" s="21">
        <v>0.33</v>
      </c>
      <c r="AA310" s="21">
        <v>0.42</v>
      </c>
      <c r="AB310" s="21">
        <v>0.12</v>
      </c>
      <c r="AC310" s="21">
        <v>0.12</v>
      </c>
      <c r="AD310" s="21">
        <v>0</v>
      </c>
      <c r="AE310" s="21">
        <v>7.78</v>
      </c>
      <c r="AF310" s="21">
        <v>6.72</v>
      </c>
      <c r="AG310" s="21">
        <v>15.4</v>
      </c>
      <c r="AH310" s="18" t="s">
        <v>17</v>
      </c>
      <c r="AI310" s="13" t="str">
        <f>VLOOKUP(AH310,'Hess and Brezowsky'!$B$2:$G$31,2,FALSE)</f>
        <v>Meridional</v>
      </c>
      <c r="AJ310" s="18" t="str">
        <f>VLOOKUP(AH310,'Hess and Brezowsky'!$B$2:$G$31,3,FALSE)</f>
        <v>C</v>
      </c>
      <c r="AK310" s="13" t="str">
        <f>VLOOKUP(AH310,'Hess and Brezowsky'!$B$2:$G$31,4,FALSE)</f>
        <v>Scandinavian High, Trough Central Europe</v>
      </c>
      <c r="AL310" s="29">
        <v>0.2109375</v>
      </c>
      <c r="AM310" s="29">
        <v>0.49447916666666669</v>
      </c>
      <c r="AN310" s="30">
        <v>0.77803240740740742</v>
      </c>
    </row>
    <row r="311" spans="1:40" ht="15.75" customHeight="1" x14ac:dyDescent="0.2">
      <c r="A311" s="27">
        <v>45031</v>
      </c>
      <c r="B311" s="13">
        <v>2023</v>
      </c>
      <c r="C311" s="13">
        <v>105</v>
      </c>
      <c r="D311" s="13">
        <f t="shared" si="11"/>
        <v>7</v>
      </c>
      <c r="E311" s="13"/>
      <c r="F311" s="13">
        <f t="shared" si="13"/>
        <v>3</v>
      </c>
      <c r="G311" s="14">
        <v>1</v>
      </c>
      <c r="H311" s="14">
        <v>0</v>
      </c>
      <c r="I311" s="14">
        <v>1</v>
      </c>
      <c r="J311" s="14">
        <v>0</v>
      </c>
      <c r="K311" s="14">
        <v>0</v>
      </c>
      <c r="L311" s="14">
        <v>1</v>
      </c>
      <c r="M311" s="15">
        <v>333.48200000000003</v>
      </c>
      <c r="N311" s="16" t="str">
        <f t="shared" si="12"/>
        <v>NW</v>
      </c>
      <c r="O311" s="17">
        <v>8.6999999999999993</v>
      </c>
      <c r="P311" s="16" t="s">
        <v>137</v>
      </c>
      <c r="Q311" s="18">
        <v>10.7</v>
      </c>
      <c r="R311" s="19">
        <v>10.39</v>
      </c>
      <c r="S311" s="19">
        <v>8.1999999999999993</v>
      </c>
      <c r="T311" s="19">
        <v>14.3</v>
      </c>
      <c r="U311" s="20">
        <v>322.62</v>
      </c>
      <c r="V311" s="16" t="s">
        <v>6</v>
      </c>
      <c r="W311" s="21">
        <v>0.17</v>
      </c>
      <c r="X311" s="21">
        <v>0</v>
      </c>
      <c r="Y311" s="21">
        <v>0</v>
      </c>
      <c r="Z311" s="21">
        <v>0</v>
      </c>
      <c r="AA311" s="21">
        <v>0.08</v>
      </c>
      <c r="AB311" s="21">
        <v>0</v>
      </c>
      <c r="AC311" s="21">
        <v>0</v>
      </c>
      <c r="AD311" s="21">
        <v>0.75</v>
      </c>
      <c r="AE311" s="21">
        <v>9.48</v>
      </c>
      <c r="AF311" s="21">
        <v>8.24</v>
      </c>
      <c r="AG311" s="21">
        <v>15.1</v>
      </c>
      <c r="AH311" s="18" t="s">
        <v>17</v>
      </c>
      <c r="AI311" s="13" t="str">
        <f>VLOOKUP(AH311,'Hess and Brezowsky'!$B$2:$G$31,2,FALSE)</f>
        <v>Meridional</v>
      </c>
      <c r="AJ311" s="18" t="str">
        <f>VLOOKUP(AH311,'Hess and Brezowsky'!$B$2:$G$31,3,FALSE)</f>
        <v>C</v>
      </c>
      <c r="AK311" s="13" t="str">
        <f>VLOOKUP(AH311,'Hess and Brezowsky'!$B$2:$G$31,4,FALSE)</f>
        <v>Scandinavian High, Trough Central Europe</v>
      </c>
      <c r="AL311" s="29">
        <v>0.20956018518518518</v>
      </c>
      <c r="AM311" s="29">
        <v>0.49431712962962965</v>
      </c>
      <c r="AN311" s="30">
        <v>0.77906249999999999</v>
      </c>
    </row>
    <row r="312" spans="1:40" ht="15.75" customHeight="1" x14ac:dyDescent="0.2">
      <c r="A312" s="27">
        <v>45032</v>
      </c>
      <c r="B312" s="13">
        <v>2023</v>
      </c>
      <c r="C312" s="13">
        <v>106</v>
      </c>
      <c r="D312" s="13">
        <f t="shared" si="11"/>
        <v>1</v>
      </c>
      <c r="E312" s="13"/>
      <c r="F312" s="13">
        <f t="shared" si="13"/>
        <v>3</v>
      </c>
      <c r="G312" s="14">
        <v>1</v>
      </c>
      <c r="H312" s="14">
        <v>0</v>
      </c>
      <c r="I312" s="14">
        <v>1</v>
      </c>
      <c r="J312" s="14">
        <v>0</v>
      </c>
      <c r="K312" s="14">
        <v>0</v>
      </c>
      <c r="L312" s="14">
        <v>1</v>
      </c>
      <c r="M312" s="15">
        <v>10.038</v>
      </c>
      <c r="N312" s="16" t="str">
        <f t="shared" si="12"/>
        <v>N</v>
      </c>
      <c r="O312" s="17">
        <v>7.9</v>
      </c>
      <c r="P312" s="16" t="s">
        <v>138</v>
      </c>
      <c r="Q312" s="18">
        <v>0</v>
      </c>
      <c r="R312" s="19">
        <v>10.96</v>
      </c>
      <c r="S312" s="19">
        <v>5.5</v>
      </c>
      <c r="T312" s="19">
        <v>16.5</v>
      </c>
      <c r="U312" s="20">
        <v>6.96</v>
      </c>
      <c r="V312" s="16" t="s">
        <v>7</v>
      </c>
      <c r="W312" s="21">
        <v>0.88</v>
      </c>
      <c r="X312" s="21">
        <v>0.12</v>
      </c>
      <c r="Y312" s="21">
        <v>0</v>
      </c>
      <c r="Z312" s="21">
        <v>0</v>
      </c>
      <c r="AA312" s="21">
        <v>0</v>
      </c>
      <c r="AB312" s="21">
        <v>0</v>
      </c>
      <c r="AC312" s="21">
        <v>0</v>
      </c>
      <c r="AD312" s="21">
        <v>0</v>
      </c>
      <c r="AE312" s="21">
        <v>7.25</v>
      </c>
      <c r="AF312" s="21">
        <v>7.04</v>
      </c>
      <c r="AG312" s="21">
        <v>11</v>
      </c>
      <c r="AH312" s="18" t="s">
        <v>42</v>
      </c>
      <c r="AI312" s="13" t="str">
        <f>VLOOKUP(AH312,'Hess and Brezowsky'!$B$2:$G$31,2,FALSE)</f>
        <v>Meridional</v>
      </c>
      <c r="AJ312" s="18" t="str">
        <f>VLOOKUP(AH312,'Hess and Brezowsky'!$B$2:$G$31,3,FALSE)</f>
        <v>A</v>
      </c>
      <c r="AK312" s="13" t="str">
        <f>VLOOKUP(AH312,'Hess and Brezowsky'!$B$2:$G$31,4,FALSE)</f>
        <v>Scandinavian High, Ridge Central Europe</v>
      </c>
      <c r="AL312" s="29">
        <v>0.20819444444444443</v>
      </c>
      <c r="AM312" s="29">
        <v>0.49414351851851851</v>
      </c>
      <c r="AN312" s="30">
        <v>0.78010416666666671</v>
      </c>
    </row>
    <row r="313" spans="1:40" ht="15.75" customHeight="1" x14ac:dyDescent="0.2">
      <c r="A313" s="27">
        <v>45033</v>
      </c>
      <c r="B313" s="13">
        <v>2023</v>
      </c>
      <c r="C313" s="13">
        <v>107</v>
      </c>
      <c r="D313" s="13">
        <f t="shared" si="11"/>
        <v>2</v>
      </c>
      <c r="E313" s="13"/>
      <c r="F313" s="13">
        <f t="shared" si="13"/>
        <v>3</v>
      </c>
      <c r="G313" s="14">
        <v>1</v>
      </c>
      <c r="H313" s="14">
        <v>0</v>
      </c>
      <c r="I313" s="14">
        <v>1</v>
      </c>
      <c r="J313" s="14">
        <v>0</v>
      </c>
      <c r="K313" s="14">
        <v>0</v>
      </c>
      <c r="L313" s="14">
        <v>1</v>
      </c>
      <c r="M313" s="15">
        <v>29.776</v>
      </c>
      <c r="N313" s="16" t="str">
        <f t="shared" si="12"/>
        <v>NE</v>
      </c>
      <c r="O313" s="17">
        <v>7</v>
      </c>
      <c r="P313" s="16" t="s">
        <v>137</v>
      </c>
      <c r="Q313" s="18">
        <v>0</v>
      </c>
      <c r="R313" s="19">
        <v>9.8000000000000007</v>
      </c>
      <c r="S313" s="19">
        <v>6.9</v>
      </c>
      <c r="T313" s="19">
        <v>12.7</v>
      </c>
      <c r="U313" s="20">
        <v>26.18</v>
      </c>
      <c r="V313" s="16" t="s">
        <v>10</v>
      </c>
      <c r="W313" s="21">
        <v>0.38</v>
      </c>
      <c r="X313" s="21">
        <v>0.62</v>
      </c>
      <c r="Y313" s="21">
        <v>0</v>
      </c>
      <c r="Z313" s="21">
        <v>0</v>
      </c>
      <c r="AA313" s="21">
        <v>0</v>
      </c>
      <c r="AB313" s="21">
        <v>0</v>
      </c>
      <c r="AC313" s="21">
        <v>0</v>
      </c>
      <c r="AD313" s="21">
        <v>0</v>
      </c>
      <c r="AE313" s="21">
        <v>6.77</v>
      </c>
      <c r="AF313" s="21">
        <v>6.62</v>
      </c>
      <c r="AG313" s="21">
        <v>12.7</v>
      </c>
      <c r="AH313" s="18" t="s">
        <v>42</v>
      </c>
      <c r="AI313" s="13" t="str">
        <f>VLOOKUP(AH313,'Hess and Brezowsky'!$B$2:$G$31,2,FALSE)</f>
        <v>Meridional</v>
      </c>
      <c r="AJ313" s="18" t="str">
        <f>VLOOKUP(AH313,'Hess and Brezowsky'!$B$2:$G$31,3,FALSE)</f>
        <v>A</v>
      </c>
      <c r="AK313" s="13" t="str">
        <f>VLOOKUP(AH313,'Hess and Brezowsky'!$B$2:$G$31,4,FALSE)</f>
        <v>Scandinavian High, Ridge Central Europe</v>
      </c>
      <c r="AL313" s="29">
        <v>0.20682870370370371</v>
      </c>
      <c r="AM313" s="29">
        <v>0.49398148148148147</v>
      </c>
      <c r="AN313" s="30">
        <v>0.78113425925925928</v>
      </c>
    </row>
    <row r="314" spans="1:40" ht="15.75" customHeight="1" x14ac:dyDescent="0.2">
      <c r="A314" s="27">
        <v>45034</v>
      </c>
      <c r="B314" s="13">
        <v>2023</v>
      </c>
      <c r="C314" s="13">
        <v>108</v>
      </c>
      <c r="D314" s="13">
        <f t="shared" si="11"/>
        <v>3</v>
      </c>
      <c r="E314" s="13"/>
      <c r="F314" s="13">
        <f t="shared" si="13"/>
        <v>3</v>
      </c>
      <c r="G314" s="14">
        <v>1</v>
      </c>
      <c r="H314" s="14">
        <v>0</v>
      </c>
      <c r="I314" s="14">
        <v>1</v>
      </c>
      <c r="J314" s="14">
        <v>0</v>
      </c>
      <c r="K314" s="14">
        <v>0</v>
      </c>
      <c r="L314" s="14">
        <v>1</v>
      </c>
      <c r="M314" s="15">
        <v>53.396999999999998</v>
      </c>
      <c r="N314" s="16" t="str">
        <f t="shared" si="12"/>
        <v>NE</v>
      </c>
      <c r="O314" s="17">
        <v>9.1</v>
      </c>
      <c r="P314" s="16" t="s">
        <v>137</v>
      </c>
      <c r="Q314" s="18">
        <v>0.2</v>
      </c>
      <c r="R314" s="19">
        <v>11.77</v>
      </c>
      <c r="S314" s="19">
        <v>7.6</v>
      </c>
      <c r="T314" s="19">
        <v>17</v>
      </c>
      <c r="U314" s="20">
        <v>54.22</v>
      </c>
      <c r="V314" s="16" t="s">
        <v>10</v>
      </c>
      <c r="W314" s="21">
        <v>0.12</v>
      </c>
      <c r="X314" s="21">
        <v>0.62</v>
      </c>
      <c r="Y314" s="21">
        <v>0.25</v>
      </c>
      <c r="Z314" s="21">
        <v>0</v>
      </c>
      <c r="AA314" s="21">
        <v>0</v>
      </c>
      <c r="AB314" s="21">
        <v>0</v>
      </c>
      <c r="AC314" s="21">
        <v>0</v>
      </c>
      <c r="AD314" s="21">
        <v>0</v>
      </c>
      <c r="AE314" s="21">
        <v>9.65</v>
      </c>
      <c r="AF314" s="21">
        <v>8.92</v>
      </c>
      <c r="AG314" s="21">
        <v>15</v>
      </c>
      <c r="AH314" s="18" t="s">
        <v>42</v>
      </c>
      <c r="AI314" s="13" t="str">
        <f>VLOOKUP(AH314,'Hess and Brezowsky'!$B$2:$G$31,2,FALSE)</f>
        <v>Meridional</v>
      </c>
      <c r="AJ314" s="18" t="str">
        <f>VLOOKUP(AH314,'Hess and Brezowsky'!$B$2:$G$31,3,FALSE)</f>
        <v>A</v>
      </c>
      <c r="AK314" s="13" t="str">
        <f>VLOOKUP(AH314,'Hess and Brezowsky'!$B$2:$G$31,4,FALSE)</f>
        <v>Scandinavian High, Ridge Central Europe</v>
      </c>
      <c r="AL314" s="29">
        <v>0.20548611111111112</v>
      </c>
      <c r="AM314" s="29">
        <v>0.49383101851851852</v>
      </c>
      <c r="AN314" s="30">
        <v>0.78217592592592589</v>
      </c>
    </row>
    <row r="315" spans="1:40" ht="15.75" customHeight="1" x14ac:dyDescent="0.2">
      <c r="A315" s="27">
        <v>45035</v>
      </c>
      <c r="B315" s="13">
        <v>2023</v>
      </c>
      <c r="C315" s="13">
        <v>109</v>
      </c>
      <c r="D315" s="13">
        <f t="shared" si="11"/>
        <v>4</v>
      </c>
      <c r="E315" s="13"/>
      <c r="F315" s="13">
        <f t="shared" si="13"/>
        <v>3</v>
      </c>
      <c r="G315" s="14">
        <v>1</v>
      </c>
      <c r="H315" s="14">
        <v>0</v>
      </c>
      <c r="I315" s="14">
        <v>1</v>
      </c>
      <c r="J315" s="14">
        <v>0</v>
      </c>
      <c r="K315" s="14">
        <v>0</v>
      </c>
      <c r="L315" s="14">
        <v>1</v>
      </c>
      <c r="M315" s="15">
        <v>69.001000000000005</v>
      </c>
      <c r="N315" s="16" t="str">
        <f t="shared" si="12"/>
        <v>E</v>
      </c>
      <c r="O315" s="17">
        <v>8.5</v>
      </c>
      <c r="P315" s="16" t="s">
        <v>138</v>
      </c>
      <c r="Q315" s="18">
        <v>0</v>
      </c>
      <c r="R315" s="19">
        <v>14.04</v>
      </c>
      <c r="S315" s="19">
        <v>9.1</v>
      </c>
      <c r="T315" s="19">
        <v>19.8</v>
      </c>
      <c r="U315" s="20">
        <v>71.489999999999995</v>
      </c>
      <c r="V315" s="16" t="s">
        <v>9</v>
      </c>
      <c r="W315" s="21">
        <v>0</v>
      </c>
      <c r="X315" s="21">
        <v>0.46</v>
      </c>
      <c r="Y315" s="21">
        <v>0.54</v>
      </c>
      <c r="Z315" s="21">
        <v>0</v>
      </c>
      <c r="AA315" s="21">
        <v>0</v>
      </c>
      <c r="AB315" s="21">
        <v>0</v>
      </c>
      <c r="AC315" s="21">
        <v>0</v>
      </c>
      <c r="AD315" s="21">
        <v>0</v>
      </c>
      <c r="AE315" s="21">
        <v>8.57</v>
      </c>
      <c r="AF315" s="21">
        <v>8.11</v>
      </c>
      <c r="AG315" s="21">
        <v>12.6</v>
      </c>
      <c r="AH315" s="18" t="s">
        <v>42</v>
      </c>
      <c r="AI315" s="13" t="str">
        <f>VLOOKUP(AH315,'Hess and Brezowsky'!$B$2:$G$31,2,FALSE)</f>
        <v>Meridional</v>
      </c>
      <c r="AJ315" s="18" t="str">
        <f>VLOOKUP(AH315,'Hess and Brezowsky'!$B$2:$G$31,3,FALSE)</f>
        <v>A</v>
      </c>
      <c r="AK315" s="13" t="str">
        <f>VLOOKUP(AH315,'Hess and Brezowsky'!$B$2:$G$31,4,FALSE)</f>
        <v>Scandinavian High, Ridge Central Europe</v>
      </c>
      <c r="AL315" s="29">
        <v>0.20414351851851853</v>
      </c>
      <c r="AM315" s="29">
        <v>0.49368055555555557</v>
      </c>
      <c r="AN315" s="30">
        <v>0.7832175925925926</v>
      </c>
    </row>
    <row r="316" spans="1:40" ht="15.75" customHeight="1" x14ac:dyDescent="0.2">
      <c r="A316" s="27">
        <v>45036</v>
      </c>
      <c r="B316" s="13">
        <v>2023</v>
      </c>
      <c r="C316" s="13">
        <v>110</v>
      </c>
      <c r="D316" s="13">
        <f t="shared" si="11"/>
        <v>5</v>
      </c>
      <c r="E316" s="13"/>
      <c r="F316" s="13">
        <f t="shared" si="13"/>
        <v>3</v>
      </c>
      <c r="G316" s="14">
        <v>1</v>
      </c>
      <c r="H316" s="14">
        <v>0</v>
      </c>
      <c r="I316" s="14">
        <v>1</v>
      </c>
      <c r="J316" s="14">
        <v>0</v>
      </c>
      <c r="K316" s="14">
        <v>0</v>
      </c>
      <c r="L316" s="14">
        <v>1</v>
      </c>
      <c r="M316" s="15">
        <v>41.643000000000001</v>
      </c>
      <c r="N316" s="16" t="str">
        <f t="shared" si="12"/>
        <v>NE</v>
      </c>
      <c r="O316" s="17">
        <v>7.9</v>
      </c>
      <c r="P316" s="16" t="s">
        <v>137</v>
      </c>
      <c r="Q316" s="18">
        <v>0</v>
      </c>
      <c r="R316" s="19">
        <v>9.32</v>
      </c>
      <c r="S316" s="19">
        <v>5.2</v>
      </c>
      <c r="T316" s="19">
        <v>13.3</v>
      </c>
      <c r="U316" s="20">
        <v>39.47</v>
      </c>
      <c r="V316" s="16" t="s">
        <v>10</v>
      </c>
      <c r="W316" s="21">
        <v>0.25</v>
      </c>
      <c r="X316" s="21">
        <v>0.71</v>
      </c>
      <c r="Y316" s="21">
        <v>0.04</v>
      </c>
      <c r="Z316" s="21">
        <v>0</v>
      </c>
      <c r="AA316" s="21">
        <v>0</v>
      </c>
      <c r="AB316" s="21">
        <v>0</v>
      </c>
      <c r="AC316" s="21">
        <v>0</v>
      </c>
      <c r="AD316" s="21">
        <v>0</v>
      </c>
      <c r="AE316" s="21">
        <v>7.99</v>
      </c>
      <c r="AF316" s="21">
        <v>7.5</v>
      </c>
      <c r="AG316" s="21">
        <v>13.5</v>
      </c>
      <c r="AH316" s="18" t="s">
        <v>17</v>
      </c>
      <c r="AI316" s="13" t="str">
        <f>VLOOKUP(AH316,'Hess and Brezowsky'!$B$2:$G$31,2,FALSE)</f>
        <v>Meridional</v>
      </c>
      <c r="AJ316" s="18" t="str">
        <f>VLOOKUP(AH316,'Hess and Brezowsky'!$B$2:$G$31,3,FALSE)</f>
        <v>C</v>
      </c>
      <c r="AK316" s="13" t="str">
        <f>VLOOKUP(AH316,'Hess and Brezowsky'!$B$2:$G$31,4,FALSE)</f>
        <v>Scandinavian High, Trough Central Europe</v>
      </c>
      <c r="AL316" s="29">
        <v>0.20281250000000001</v>
      </c>
      <c r="AM316" s="29">
        <v>0.49353009259259262</v>
      </c>
      <c r="AN316" s="30">
        <v>0.78424768518518517</v>
      </c>
    </row>
    <row r="317" spans="1:40" ht="15.75" customHeight="1" x14ac:dyDescent="0.2">
      <c r="A317" s="27">
        <v>45037</v>
      </c>
      <c r="B317" s="13">
        <v>2023</v>
      </c>
      <c r="C317" s="13">
        <v>111</v>
      </c>
      <c r="D317" s="13">
        <f t="shared" si="11"/>
        <v>6</v>
      </c>
      <c r="E317" s="13"/>
      <c r="F317" s="13">
        <f t="shared" si="13"/>
        <v>3</v>
      </c>
      <c r="G317" s="14">
        <v>1</v>
      </c>
      <c r="H317" s="14">
        <v>0</v>
      </c>
      <c r="I317" s="14">
        <v>1</v>
      </c>
      <c r="J317" s="14">
        <v>0</v>
      </c>
      <c r="K317" s="14">
        <v>0</v>
      </c>
      <c r="L317" s="14">
        <v>1</v>
      </c>
      <c r="M317" s="15">
        <v>56.49</v>
      </c>
      <c r="N317" s="16" t="str">
        <f t="shared" si="12"/>
        <v>NE</v>
      </c>
      <c r="O317" s="17">
        <v>2.5</v>
      </c>
      <c r="P317" s="16" t="s">
        <v>137</v>
      </c>
      <c r="Q317" s="18">
        <v>0</v>
      </c>
      <c r="R317" s="19">
        <v>9.7200000000000006</v>
      </c>
      <c r="S317" s="19">
        <v>4.5999999999999996</v>
      </c>
      <c r="T317" s="19">
        <v>15.4</v>
      </c>
      <c r="U317" s="20">
        <v>52.34</v>
      </c>
      <c r="V317" s="16" t="s">
        <v>10</v>
      </c>
      <c r="W317" s="21">
        <v>0.08</v>
      </c>
      <c r="X317" s="21">
        <v>0.42</v>
      </c>
      <c r="Y317" s="21">
        <v>0.33</v>
      </c>
      <c r="Z317" s="21">
        <v>0</v>
      </c>
      <c r="AA317" s="21">
        <v>0</v>
      </c>
      <c r="AB317" s="21">
        <v>0</v>
      </c>
      <c r="AC317" s="21">
        <v>0.12</v>
      </c>
      <c r="AD317" s="21">
        <v>0.04</v>
      </c>
      <c r="AE317" s="21">
        <v>2.21</v>
      </c>
      <c r="AF317" s="21">
        <v>1.73</v>
      </c>
      <c r="AG317" s="21">
        <v>5.2</v>
      </c>
      <c r="AH317" s="18" t="s">
        <v>17</v>
      </c>
      <c r="AI317" s="13" t="str">
        <f>VLOOKUP(AH317,'Hess and Brezowsky'!$B$2:$G$31,2,FALSE)</f>
        <v>Meridional</v>
      </c>
      <c r="AJ317" s="18" t="str">
        <f>VLOOKUP(AH317,'Hess and Brezowsky'!$B$2:$G$31,3,FALSE)</f>
        <v>C</v>
      </c>
      <c r="AK317" s="13" t="str">
        <f>VLOOKUP(AH317,'Hess and Brezowsky'!$B$2:$G$31,4,FALSE)</f>
        <v>Scandinavian High, Trough Central Europe</v>
      </c>
      <c r="AL317" s="29">
        <v>0.20149305555555555</v>
      </c>
      <c r="AM317" s="29">
        <v>0.49339120370370371</v>
      </c>
      <c r="AN317" s="30">
        <v>0.78528935185185189</v>
      </c>
    </row>
    <row r="318" spans="1:40" ht="15.75" customHeight="1" x14ac:dyDescent="0.2">
      <c r="A318" s="27">
        <v>45038</v>
      </c>
      <c r="B318" s="13">
        <v>2023</v>
      </c>
      <c r="C318" s="13">
        <v>112</v>
      </c>
      <c r="D318" s="13">
        <f t="shared" si="11"/>
        <v>7</v>
      </c>
      <c r="E318" s="13"/>
      <c r="F318" s="13">
        <f t="shared" si="13"/>
        <v>3</v>
      </c>
      <c r="G318" s="14">
        <v>1</v>
      </c>
      <c r="H318" s="14">
        <v>0</v>
      </c>
      <c r="I318" s="14">
        <v>0.83</v>
      </c>
      <c r="J318" s="14">
        <v>0</v>
      </c>
      <c r="K318" s="14">
        <v>0</v>
      </c>
      <c r="L318" s="14">
        <v>0.95</v>
      </c>
      <c r="M318" s="15">
        <v>198.7</v>
      </c>
      <c r="N318" s="16" t="str">
        <f t="shared" si="12"/>
        <v>S</v>
      </c>
      <c r="O318" s="17">
        <v>8.3000000000000007</v>
      </c>
      <c r="P318" s="16" t="s">
        <v>137</v>
      </c>
      <c r="Q318" s="18">
        <v>8.1</v>
      </c>
      <c r="R318" s="19">
        <v>12.1</v>
      </c>
      <c r="S318" s="19">
        <v>8.3000000000000007</v>
      </c>
      <c r="T318" s="19">
        <v>17.399999999999999</v>
      </c>
      <c r="U318" s="20">
        <v>195.26</v>
      </c>
      <c r="V318" s="16" t="s">
        <v>13</v>
      </c>
      <c r="W318" s="21">
        <v>0</v>
      </c>
      <c r="X318" s="21">
        <v>0</v>
      </c>
      <c r="Y318" s="21">
        <v>0.21</v>
      </c>
      <c r="Z318" s="21">
        <v>0.04</v>
      </c>
      <c r="AA318" s="21">
        <v>0.17</v>
      </c>
      <c r="AB318" s="21">
        <v>0.57999999999999996</v>
      </c>
      <c r="AC318" s="21">
        <v>0</v>
      </c>
      <c r="AD318" s="21">
        <v>0</v>
      </c>
      <c r="AE318" s="21">
        <v>7.54</v>
      </c>
      <c r="AF318" s="21">
        <v>5</v>
      </c>
      <c r="AG318" s="21">
        <v>13.8</v>
      </c>
      <c r="AH318" s="18" t="s">
        <v>17</v>
      </c>
      <c r="AI318" s="13" t="str">
        <f>VLOOKUP(AH318,'Hess and Brezowsky'!$B$2:$G$31,2,FALSE)</f>
        <v>Meridional</v>
      </c>
      <c r="AJ318" s="18" t="str">
        <f>VLOOKUP(AH318,'Hess and Brezowsky'!$B$2:$G$31,3,FALSE)</f>
        <v>C</v>
      </c>
      <c r="AK318" s="13" t="str">
        <f>VLOOKUP(AH318,'Hess and Brezowsky'!$B$2:$G$31,4,FALSE)</f>
        <v>Scandinavian High, Trough Central Europe</v>
      </c>
      <c r="AL318" s="29">
        <v>0.20018518518518519</v>
      </c>
      <c r="AM318" s="29">
        <v>0.49326388888888889</v>
      </c>
      <c r="AN318" s="30">
        <v>0.7863310185185185</v>
      </c>
    </row>
    <row r="319" spans="1:40" ht="15.75" customHeight="1" x14ac:dyDescent="0.2">
      <c r="A319" s="27">
        <v>45039</v>
      </c>
      <c r="B319" s="13">
        <v>2023</v>
      </c>
      <c r="C319" s="13">
        <v>113</v>
      </c>
      <c r="D319" s="13">
        <f t="shared" si="11"/>
        <v>1</v>
      </c>
      <c r="E319" s="13"/>
      <c r="F319" s="13">
        <f t="shared" si="13"/>
        <v>3</v>
      </c>
      <c r="G319" s="14">
        <v>1</v>
      </c>
      <c r="H319" s="14">
        <v>0</v>
      </c>
      <c r="I319" s="14">
        <v>1</v>
      </c>
      <c r="J319" s="14">
        <v>0</v>
      </c>
      <c r="K319" s="14">
        <v>0</v>
      </c>
      <c r="L319" s="14">
        <v>1</v>
      </c>
      <c r="M319" s="15">
        <v>222.35499999999999</v>
      </c>
      <c r="N319" s="16" t="str">
        <f t="shared" si="12"/>
        <v>SW</v>
      </c>
      <c r="O319" s="17">
        <v>10.199999999999999</v>
      </c>
      <c r="P319" s="16" t="s">
        <v>140</v>
      </c>
      <c r="Q319" s="18">
        <v>6.3</v>
      </c>
      <c r="R319" s="19">
        <v>11.13</v>
      </c>
      <c r="S319" s="19">
        <v>8.4</v>
      </c>
      <c r="T319" s="19">
        <v>15.6</v>
      </c>
      <c r="U319" s="20">
        <v>223.24</v>
      </c>
      <c r="V319" s="16" t="s">
        <v>5</v>
      </c>
      <c r="W319" s="21">
        <v>0</v>
      </c>
      <c r="X319" s="21">
        <v>0</v>
      </c>
      <c r="Y319" s="21">
        <v>0</v>
      </c>
      <c r="Z319" s="21">
        <v>0</v>
      </c>
      <c r="AA319" s="21">
        <v>0.33</v>
      </c>
      <c r="AB319" s="21">
        <v>0.33</v>
      </c>
      <c r="AC319" s="21">
        <v>0.33</v>
      </c>
      <c r="AD319" s="21">
        <v>0</v>
      </c>
      <c r="AE319" s="21">
        <v>11.06</v>
      </c>
      <c r="AF319" s="21">
        <v>8.73</v>
      </c>
      <c r="AG319" s="21">
        <v>16.5</v>
      </c>
      <c r="AH319" s="18" t="s">
        <v>12</v>
      </c>
      <c r="AI319" s="13" t="str">
        <f>VLOOKUP(AH319,'Hess and Brezowsky'!$B$2:$G$31,2,FALSE)</f>
        <v>Undefined</v>
      </c>
      <c r="AJ319" s="18" t="str">
        <f>VLOOKUP(AH319,'Hess and Brezowsky'!$B$2:$G$31,3,FALSE)</f>
        <v>M</v>
      </c>
      <c r="AK319" s="13" t="str">
        <f>VLOOKUP(AH319,'Hess and Brezowsky'!$B$2:$G$31,4,FALSE)</f>
        <v>Transistion / Undefined</v>
      </c>
      <c r="AL319" s="29">
        <v>0.19890046296296296</v>
      </c>
      <c r="AM319" s="29">
        <v>0.49312499999999998</v>
      </c>
      <c r="AN319" s="30">
        <v>0.78736111111111107</v>
      </c>
    </row>
    <row r="320" spans="1:40" ht="15.75" customHeight="1" x14ac:dyDescent="0.2">
      <c r="A320" s="27">
        <v>45040</v>
      </c>
      <c r="B320" s="13">
        <v>2023</v>
      </c>
      <c r="C320" s="13">
        <v>114</v>
      </c>
      <c r="D320" s="13">
        <f t="shared" si="11"/>
        <v>2</v>
      </c>
      <c r="E320" s="13"/>
      <c r="F320" s="13">
        <f t="shared" si="13"/>
        <v>3</v>
      </c>
      <c r="G320" s="14">
        <v>1</v>
      </c>
      <c r="H320" s="14">
        <v>0</v>
      </c>
      <c r="I320" s="14">
        <v>1</v>
      </c>
      <c r="J320" s="14">
        <v>0</v>
      </c>
      <c r="K320" s="14">
        <v>0</v>
      </c>
      <c r="L320" s="14">
        <v>1</v>
      </c>
      <c r="M320" s="15">
        <v>263.09399999999999</v>
      </c>
      <c r="N320" s="16" t="str">
        <f t="shared" si="12"/>
        <v>W</v>
      </c>
      <c r="O320" s="17">
        <v>7.4</v>
      </c>
      <c r="P320" s="16" t="s">
        <v>137</v>
      </c>
      <c r="Q320" s="18">
        <v>1.8</v>
      </c>
      <c r="R320" s="19">
        <v>10.69</v>
      </c>
      <c r="S320" s="19">
        <v>8.1</v>
      </c>
      <c r="T320" s="19">
        <v>14.8</v>
      </c>
      <c r="U320" s="20">
        <v>263.63</v>
      </c>
      <c r="V320" s="16" t="s">
        <v>16</v>
      </c>
      <c r="W320" s="21">
        <v>0</v>
      </c>
      <c r="X320" s="21">
        <v>0</v>
      </c>
      <c r="Y320" s="21">
        <v>0</v>
      </c>
      <c r="Z320" s="21">
        <v>0</v>
      </c>
      <c r="AA320" s="21">
        <v>0</v>
      </c>
      <c r="AB320" s="21">
        <v>0.17</v>
      </c>
      <c r="AC320" s="21">
        <v>0.79</v>
      </c>
      <c r="AD320" s="21">
        <v>0.04</v>
      </c>
      <c r="AE320" s="21">
        <v>7.93</v>
      </c>
      <c r="AF320" s="21">
        <v>7.72</v>
      </c>
      <c r="AG320" s="21">
        <v>14</v>
      </c>
      <c r="AH320" s="18" t="s">
        <v>29</v>
      </c>
      <c r="AI320" s="13" t="str">
        <f>VLOOKUP(AH320,'Hess and Brezowsky'!$B$2:$G$31,2,FALSE)</f>
        <v>Mixed</v>
      </c>
      <c r="AJ320" s="18" t="str">
        <f>VLOOKUP(AH320,'Hess and Brezowsky'!$B$2:$G$31,3,FALSE)</f>
        <v>C</v>
      </c>
      <c r="AK320" s="13" t="str">
        <f>VLOOKUP(AH320,'Hess and Brezowsky'!$B$2:$G$31,4,FALSE)</f>
        <v>Cyclonic North-Westerly</v>
      </c>
      <c r="AL320" s="29">
        <v>0.19761574074074073</v>
      </c>
      <c r="AM320" s="29">
        <v>0.49300925925925926</v>
      </c>
      <c r="AN320" s="30">
        <v>0.78840277777777779</v>
      </c>
    </row>
    <row r="321" spans="1:40" ht="15.75" customHeight="1" x14ac:dyDescent="0.2">
      <c r="A321" s="27">
        <v>45041</v>
      </c>
      <c r="B321" s="13">
        <v>2023</v>
      </c>
      <c r="C321" s="13">
        <v>115</v>
      </c>
      <c r="D321" s="13">
        <f t="shared" si="11"/>
        <v>3</v>
      </c>
      <c r="E321" s="13"/>
      <c r="F321" s="13">
        <f t="shared" si="13"/>
        <v>3</v>
      </c>
      <c r="G321" s="14">
        <v>1</v>
      </c>
      <c r="H321" s="14">
        <v>0</v>
      </c>
      <c r="I321" s="14">
        <v>1</v>
      </c>
      <c r="J321" s="14">
        <v>0</v>
      </c>
      <c r="K321" s="14">
        <v>0</v>
      </c>
      <c r="L321" s="14">
        <v>1</v>
      </c>
      <c r="M321" s="15">
        <v>355.98399999999998</v>
      </c>
      <c r="N321" s="16" t="str">
        <f t="shared" si="12"/>
        <v>N</v>
      </c>
      <c r="O321" s="17">
        <v>5.3</v>
      </c>
      <c r="P321" s="16" t="s">
        <v>137</v>
      </c>
      <c r="Q321" s="18">
        <v>0</v>
      </c>
      <c r="R321" s="19">
        <v>9.1199999999999992</v>
      </c>
      <c r="S321" s="19">
        <v>7</v>
      </c>
      <c r="T321" s="19">
        <v>11.7</v>
      </c>
      <c r="U321" s="20">
        <v>337.04</v>
      </c>
      <c r="V321" s="16" t="s">
        <v>6</v>
      </c>
      <c r="W321" s="21">
        <v>0.38</v>
      </c>
      <c r="X321" s="21">
        <v>0.17</v>
      </c>
      <c r="Y321" s="21">
        <v>0.17</v>
      </c>
      <c r="Z321" s="21">
        <v>0</v>
      </c>
      <c r="AA321" s="21">
        <v>0</v>
      </c>
      <c r="AB321" s="21">
        <v>0</v>
      </c>
      <c r="AC321" s="21">
        <v>0.21</v>
      </c>
      <c r="AD321" s="21">
        <v>0.08</v>
      </c>
      <c r="AE321" s="21">
        <v>5.51</v>
      </c>
      <c r="AF321" s="21">
        <v>3.11</v>
      </c>
      <c r="AG321" s="21">
        <v>11.6</v>
      </c>
      <c r="AH321" s="18" t="s">
        <v>29</v>
      </c>
      <c r="AI321" s="13" t="str">
        <f>VLOOKUP(AH321,'Hess and Brezowsky'!$B$2:$G$31,2,FALSE)</f>
        <v>Mixed</v>
      </c>
      <c r="AJ321" s="18" t="str">
        <f>VLOOKUP(AH321,'Hess and Brezowsky'!$B$2:$G$31,3,FALSE)</f>
        <v>C</v>
      </c>
      <c r="AK321" s="13" t="str">
        <f>VLOOKUP(AH321,'Hess and Brezowsky'!$B$2:$G$31,4,FALSE)</f>
        <v>Cyclonic North-Westerly</v>
      </c>
      <c r="AL321" s="29">
        <v>0.1963425925925926</v>
      </c>
      <c r="AM321" s="29">
        <v>0.49289351851851854</v>
      </c>
      <c r="AN321" s="30">
        <v>0.78944444444444439</v>
      </c>
    </row>
    <row r="322" spans="1:40" ht="15.75" customHeight="1" x14ac:dyDescent="0.2">
      <c r="A322" s="27">
        <v>45042</v>
      </c>
      <c r="B322" s="13">
        <v>2023</v>
      </c>
      <c r="C322" s="13">
        <v>116</v>
      </c>
      <c r="D322" s="13">
        <f t="shared" ref="D322:D385" si="14">WEEKDAY(A322)</f>
        <v>4</v>
      </c>
      <c r="E322" s="13"/>
      <c r="F322" s="13">
        <f t="shared" si="13"/>
        <v>3</v>
      </c>
      <c r="G322" s="14">
        <v>1</v>
      </c>
      <c r="H322" s="14">
        <v>0</v>
      </c>
      <c r="I322" s="14">
        <v>1</v>
      </c>
      <c r="J322" s="14">
        <v>0</v>
      </c>
      <c r="K322" s="14">
        <v>0</v>
      </c>
      <c r="L322" s="14">
        <v>1</v>
      </c>
      <c r="M322" s="15">
        <v>104.18300000000001</v>
      </c>
      <c r="N322" s="16" t="str">
        <f t="shared" ref="N322:N385" si="15">IF(AND(M322 &gt; 22.5,M322&lt;=67.6),"NE",IF(AND(M322 &gt; 67.5,M322&lt;=112.5),"E",IF(AND(M322 &gt; 112.5,M322&lt;=157.5),"SE",IF(AND(M322 &gt; 157.5,M322&lt;=202.5),"S",IF(AND(M322 &gt; 202.5,M322&lt;=247.5),"SW",IF(AND(M322 &gt; 247.5,M322&lt;=292.5),"W",IF(AND(M322 &gt; 292.5,M322&lt;=337.5),"NW",IF(AND(M322 &gt; 22.5,M322&lt;=360),"N","N"))))))))</f>
        <v>E</v>
      </c>
      <c r="O322" s="17">
        <v>4.2</v>
      </c>
      <c r="P322" s="16" t="s">
        <v>137</v>
      </c>
      <c r="Q322" s="18">
        <v>0.2</v>
      </c>
      <c r="R322" s="19">
        <v>10.82</v>
      </c>
      <c r="S322" s="19">
        <v>6.2</v>
      </c>
      <c r="T322" s="19">
        <v>14.4</v>
      </c>
      <c r="U322" s="20">
        <v>109.45</v>
      </c>
      <c r="V322" s="16" t="s">
        <v>9</v>
      </c>
      <c r="W322" s="21">
        <v>0</v>
      </c>
      <c r="X322" s="21">
        <v>0</v>
      </c>
      <c r="Y322" s="21">
        <v>0.54</v>
      </c>
      <c r="Z322" s="21">
        <v>0.46</v>
      </c>
      <c r="AA322" s="21">
        <v>0</v>
      </c>
      <c r="AB322" s="21">
        <v>0</v>
      </c>
      <c r="AC322" s="21">
        <v>0</v>
      </c>
      <c r="AD322" s="21">
        <v>0</v>
      </c>
      <c r="AE322" s="21">
        <v>3.69</v>
      </c>
      <c r="AF322" s="21">
        <v>3.56</v>
      </c>
      <c r="AG322" s="21">
        <v>7.3</v>
      </c>
      <c r="AH322" s="18" t="s">
        <v>29</v>
      </c>
      <c r="AI322" s="13" t="str">
        <f>VLOOKUP(AH322,'Hess and Brezowsky'!$B$2:$G$31,2,FALSE)</f>
        <v>Mixed</v>
      </c>
      <c r="AJ322" s="18" t="str">
        <f>VLOOKUP(AH322,'Hess and Brezowsky'!$B$2:$G$31,3,FALSE)</f>
        <v>C</v>
      </c>
      <c r="AK322" s="13" t="str">
        <f>VLOOKUP(AH322,'Hess and Brezowsky'!$B$2:$G$31,4,FALSE)</f>
        <v>Cyclonic North-Westerly</v>
      </c>
      <c r="AL322" s="29">
        <v>0.19508101851851853</v>
      </c>
      <c r="AM322" s="29">
        <v>0.49277777777777776</v>
      </c>
      <c r="AN322" s="30">
        <v>0.79047453703703707</v>
      </c>
    </row>
    <row r="323" spans="1:40" ht="15.75" customHeight="1" x14ac:dyDescent="0.2">
      <c r="A323" s="27">
        <v>45043</v>
      </c>
      <c r="B323" s="13">
        <v>2023</v>
      </c>
      <c r="C323" s="13">
        <v>117</v>
      </c>
      <c r="D323" s="13">
        <f t="shared" si="14"/>
        <v>5</v>
      </c>
      <c r="E323" s="13"/>
      <c r="F323" s="13">
        <f t="shared" si="13"/>
        <v>3</v>
      </c>
      <c r="G323" s="14">
        <v>1</v>
      </c>
      <c r="H323" s="14">
        <v>0</v>
      </c>
      <c r="I323" s="14">
        <v>1</v>
      </c>
      <c r="J323" s="14">
        <v>0</v>
      </c>
      <c r="K323" s="14">
        <v>0</v>
      </c>
      <c r="L323" s="14">
        <v>1</v>
      </c>
      <c r="M323" s="15">
        <v>158.029</v>
      </c>
      <c r="N323" s="16" t="str">
        <f t="shared" si="15"/>
        <v>S</v>
      </c>
      <c r="O323" s="17">
        <v>5.2</v>
      </c>
      <c r="P323" s="16" t="s">
        <v>137</v>
      </c>
      <c r="Q323" s="18">
        <v>0.8</v>
      </c>
      <c r="R323" s="19">
        <v>14.94</v>
      </c>
      <c r="S323" s="19">
        <v>10.199999999999999</v>
      </c>
      <c r="T323" s="19">
        <v>19</v>
      </c>
      <c r="U323" s="20">
        <v>164.07</v>
      </c>
      <c r="V323" s="16" t="s">
        <v>13</v>
      </c>
      <c r="W323" s="21">
        <v>0</v>
      </c>
      <c r="X323" s="21">
        <v>0</v>
      </c>
      <c r="Y323" s="21">
        <v>0.17</v>
      </c>
      <c r="Z323" s="21">
        <v>0.42</v>
      </c>
      <c r="AA323" s="21">
        <v>0.25</v>
      </c>
      <c r="AB323" s="21">
        <v>0.17</v>
      </c>
      <c r="AC323" s="21">
        <v>0</v>
      </c>
      <c r="AD323" s="21">
        <v>0</v>
      </c>
      <c r="AE323" s="21">
        <v>4.9800000000000004</v>
      </c>
      <c r="AF323" s="21">
        <v>3.56</v>
      </c>
      <c r="AG323" s="21">
        <v>10.5</v>
      </c>
      <c r="AH323" s="18" t="s">
        <v>34</v>
      </c>
      <c r="AI323" s="13" t="str">
        <f>VLOOKUP(AH323,'Hess and Brezowsky'!$B$2:$G$31,2,FALSE)</f>
        <v>Meridional</v>
      </c>
      <c r="AJ323" s="18" t="str">
        <f>VLOOKUP(AH323,'Hess and Brezowsky'!$B$2:$G$31,3,FALSE)</f>
        <v>A</v>
      </c>
      <c r="AK323" s="13" t="str">
        <f>VLOOKUP(AH323,'Hess and Brezowsky'!$B$2:$G$31,4,FALSE)</f>
        <v>Icelandic High, Ride Central Europe</v>
      </c>
      <c r="AL323" s="29">
        <v>0.19384259259259259</v>
      </c>
      <c r="AM323" s="29">
        <v>0.49267361111111113</v>
      </c>
      <c r="AN323" s="30">
        <v>0.79150462962962964</v>
      </c>
    </row>
    <row r="324" spans="1:40" ht="15.75" customHeight="1" x14ac:dyDescent="0.2">
      <c r="A324" s="27">
        <v>45044</v>
      </c>
      <c r="B324" s="13">
        <v>2023</v>
      </c>
      <c r="C324" s="13">
        <v>118</v>
      </c>
      <c r="D324" s="13">
        <f t="shared" si="14"/>
        <v>6</v>
      </c>
      <c r="E324" s="13"/>
      <c r="F324" s="13">
        <f t="shared" si="13"/>
        <v>3</v>
      </c>
      <c r="G324" s="14">
        <v>1</v>
      </c>
      <c r="H324" s="14">
        <v>0</v>
      </c>
      <c r="I324" s="14">
        <v>1</v>
      </c>
      <c r="J324" s="14">
        <v>0</v>
      </c>
      <c r="K324" s="14">
        <v>0</v>
      </c>
      <c r="L324" s="14">
        <v>1</v>
      </c>
      <c r="M324" s="15">
        <v>273.58100000000002</v>
      </c>
      <c r="N324" s="16" t="str">
        <f t="shared" si="15"/>
        <v>W</v>
      </c>
      <c r="O324" s="17">
        <v>8</v>
      </c>
      <c r="P324" s="16" t="s">
        <v>137</v>
      </c>
      <c r="Q324" s="18">
        <v>7.7</v>
      </c>
      <c r="R324" s="19">
        <v>17.3</v>
      </c>
      <c r="S324" s="19">
        <v>12.7</v>
      </c>
      <c r="T324" s="19">
        <v>22.9</v>
      </c>
      <c r="U324" s="20">
        <v>267.57</v>
      </c>
      <c r="V324" s="16" t="s">
        <v>16</v>
      </c>
      <c r="W324" s="21">
        <v>0</v>
      </c>
      <c r="X324" s="21">
        <v>0</v>
      </c>
      <c r="Y324" s="21">
        <v>0</v>
      </c>
      <c r="Z324" s="21">
        <v>0</v>
      </c>
      <c r="AA324" s="21">
        <v>0</v>
      </c>
      <c r="AB324" s="21">
        <v>0.33</v>
      </c>
      <c r="AC324" s="21">
        <v>0.38</v>
      </c>
      <c r="AD324" s="21">
        <v>0.28999999999999998</v>
      </c>
      <c r="AE324" s="21">
        <v>8.26</v>
      </c>
      <c r="AF324" s="21">
        <v>7.08</v>
      </c>
      <c r="AG324" s="21">
        <v>12.9</v>
      </c>
      <c r="AH324" s="18" t="s">
        <v>34</v>
      </c>
      <c r="AI324" s="13" t="str">
        <f>VLOOKUP(AH324,'Hess and Brezowsky'!$B$2:$G$31,2,FALSE)</f>
        <v>Meridional</v>
      </c>
      <c r="AJ324" s="18" t="str">
        <f>VLOOKUP(AH324,'Hess and Brezowsky'!$B$2:$G$31,3,FALSE)</f>
        <v>A</v>
      </c>
      <c r="AK324" s="13" t="str">
        <f>VLOOKUP(AH324,'Hess and Brezowsky'!$B$2:$G$31,4,FALSE)</f>
        <v>Icelandic High, Ride Central Europe</v>
      </c>
      <c r="AL324" s="29">
        <v>0.19260416666666666</v>
      </c>
      <c r="AM324" s="29">
        <v>0.49258101851851854</v>
      </c>
      <c r="AN324" s="30">
        <v>0.79254629629629625</v>
      </c>
    </row>
    <row r="325" spans="1:40" ht="15.75" customHeight="1" x14ac:dyDescent="0.2">
      <c r="A325" s="27">
        <v>45045</v>
      </c>
      <c r="B325" s="13">
        <v>2023</v>
      </c>
      <c r="C325" s="13">
        <v>119</v>
      </c>
      <c r="D325" s="13">
        <f t="shared" si="14"/>
        <v>7</v>
      </c>
      <c r="E325" s="13"/>
      <c r="F325" s="13">
        <f t="shared" si="13"/>
        <v>3</v>
      </c>
      <c r="G325" s="14">
        <v>1</v>
      </c>
      <c r="H325" s="14">
        <v>0</v>
      </c>
      <c r="I325" s="14">
        <v>1</v>
      </c>
      <c r="J325" s="14">
        <v>0</v>
      </c>
      <c r="K325" s="14">
        <v>0</v>
      </c>
      <c r="L325" s="14">
        <v>1</v>
      </c>
      <c r="M325" s="15">
        <v>27.709</v>
      </c>
      <c r="N325" s="16" t="str">
        <f t="shared" si="15"/>
        <v>NE</v>
      </c>
      <c r="O325" s="17">
        <v>4.7</v>
      </c>
      <c r="P325" s="16" t="s">
        <v>137</v>
      </c>
      <c r="Q325" s="18">
        <v>0</v>
      </c>
      <c r="R325" s="19">
        <v>12.66</v>
      </c>
      <c r="S325" s="19">
        <v>10</v>
      </c>
      <c r="T325" s="19">
        <v>16.7</v>
      </c>
      <c r="U325" s="20">
        <v>20.63</v>
      </c>
      <c r="V325" s="16" t="s">
        <v>7</v>
      </c>
      <c r="W325" s="21">
        <v>0.62</v>
      </c>
      <c r="X325" s="21">
        <v>0.21</v>
      </c>
      <c r="Y325" s="21">
        <v>0.12</v>
      </c>
      <c r="Z325" s="21">
        <v>0</v>
      </c>
      <c r="AA325" s="21">
        <v>0</v>
      </c>
      <c r="AB325" s="21">
        <v>0</v>
      </c>
      <c r="AC325" s="21">
        <v>0</v>
      </c>
      <c r="AD325" s="21">
        <v>0.04</v>
      </c>
      <c r="AE325" s="21">
        <v>4.57</v>
      </c>
      <c r="AF325" s="21">
        <v>3.95</v>
      </c>
      <c r="AG325" s="21">
        <v>7.8</v>
      </c>
      <c r="AH325" s="18" t="s">
        <v>34</v>
      </c>
      <c r="AI325" s="13" t="str">
        <f>VLOOKUP(AH325,'Hess and Brezowsky'!$B$2:$G$31,2,FALSE)</f>
        <v>Meridional</v>
      </c>
      <c r="AJ325" s="18" t="str">
        <f>VLOOKUP(AH325,'Hess and Brezowsky'!$B$2:$G$31,3,FALSE)</f>
        <v>A</v>
      </c>
      <c r="AK325" s="13" t="str">
        <f>VLOOKUP(AH325,'Hess and Brezowsky'!$B$2:$G$31,4,FALSE)</f>
        <v>Icelandic High, Ride Central Europe</v>
      </c>
      <c r="AL325" s="29">
        <v>0.19138888888888889</v>
      </c>
      <c r="AM325" s="29">
        <v>0.4924884259259259</v>
      </c>
      <c r="AN325" s="30">
        <v>0.79357638888888893</v>
      </c>
    </row>
    <row r="326" spans="1:40" ht="15.75" customHeight="1" x14ac:dyDescent="0.2">
      <c r="A326" s="27">
        <v>45046</v>
      </c>
      <c r="B326" s="13">
        <v>2023</v>
      </c>
      <c r="C326" s="13">
        <v>120</v>
      </c>
      <c r="D326" s="13">
        <f t="shared" si="14"/>
        <v>1</v>
      </c>
      <c r="E326" s="13"/>
      <c r="F326" s="13">
        <f t="shared" si="13"/>
        <v>3</v>
      </c>
      <c r="G326" s="14">
        <v>1</v>
      </c>
      <c r="H326" s="14">
        <v>0</v>
      </c>
      <c r="I326" s="14">
        <v>1</v>
      </c>
      <c r="J326" s="14">
        <v>0</v>
      </c>
      <c r="K326" s="14">
        <v>0</v>
      </c>
      <c r="L326" s="14">
        <v>1</v>
      </c>
      <c r="M326" s="15">
        <v>59.430999999999997</v>
      </c>
      <c r="N326" s="16" t="str">
        <f t="shared" si="15"/>
        <v>NE</v>
      </c>
      <c r="O326" s="17">
        <v>4.0999999999999996</v>
      </c>
      <c r="P326" s="16" t="s">
        <v>137</v>
      </c>
      <c r="Q326" s="18">
        <v>0</v>
      </c>
      <c r="R326" s="19">
        <v>13.97</v>
      </c>
      <c r="S326" s="19">
        <v>9</v>
      </c>
      <c r="T326" s="19">
        <v>19.8</v>
      </c>
      <c r="U326" s="20">
        <v>61.48</v>
      </c>
      <c r="V326" s="16" t="s">
        <v>10</v>
      </c>
      <c r="W326" s="21">
        <v>0.04</v>
      </c>
      <c r="X326" s="21">
        <v>0.71</v>
      </c>
      <c r="Y326" s="21">
        <v>0.21</v>
      </c>
      <c r="Z326" s="21">
        <v>0</v>
      </c>
      <c r="AA326" s="21">
        <v>0</v>
      </c>
      <c r="AB326" s="21">
        <v>0</v>
      </c>
      <c r="AC326" s="21">
        <v>0.04</v>
      </c>
      <c r="AD326" s="21">
        <v>0</v>
      </c>
      <c r="AE326" s="21">
        <v>3.81</v>
      </c>
      <c r="AF326" s="21">
        <v>3.69</v>
      </c>
      <c r="AG326" s="21">
        <v>9</v>
      </c>
      <c r="AH326" s="18" t="s">
        <v>34</v>
      </c>
      <c r="AI326" s="13" t="str">
        <f>VLOOKUP(AH326,'Hess and Brezowsky'!$B$2:$G$31,2,FALSE)</f>
        <v>Meridional</v>
      </c>
      <c r="AJ326" s="18" t="str">
        <f>VLOOKUP(AH326,'Hess and Brezowsky'!$B$2:$G$31,3,FALSE)</f>
        <v>A</v>
      </c>
      <c r="AK326" s="13" t="str">
        <f>VLOOKUP(AH326,'Hess and Brezowsky'!$B$2:$G$31,4,FALSE)</f>
        <v>Icelandic High, Ride Central Europe</v>
      </c>
      <c r="AL326" s="29">
        <v>0.19019675925925925</v>
      </c>
      <c r="AM326" s="29">
        <v>0.49239583333333331</v>
      </c>
      <c r="AN326" s="30">
        <v>0.7946064814814815</v>
      </c>
    </row>
    <row r="327" spans="1:40" ht="15.75" customHeight="1" x14ac:dyDescent="0.2">
      <c r="A327" s="27">
        <v>45047</v>
      </c>
      <c r="B327" s="13">
        <v>2023</v>
      </c>
      <c r="C327" s="13">
        <v>121</v>
      </c>
      <c r="D327" s="13">
        <f t="shared" si="14"/>
        <v>2</v>
      </c>
      <c r="E327" s="13"/>
      <c r="F327" s="13">
        <f t="shared" si="13"/>
        <v>3</v>
      </c>
      <c r="G327" s="14">
        <v>1</v>
      </c>
      <c r="H327" s="14">
        <v>0</v>
      </c>
      <c r="I327" s="14">
        <v>1</v>
      </c>
      <c r="J327" s="14">
        <v>0</v>
      </c>
      <c r="K327" s="14">
        <v>0</v>
      </c>
      <c r="L327" s="14">
        <v>1</v>
      </c>
      <c r="M327" s="15">
        <v>315.12400000000002</v>
      </c>
      <c r="N327" s="16" t="str">
        <f t="shared" si="15"/>
        <v>NW</v>
      </c>
      <c r="O327" s="17">
        <v>6.3</v>
      </c>
      <c r="P327" s="16" t="s">
        <v>137</v>
      </c>
      <c r="Q327" s="18">
        <v>3.3</v>
      </c>
      <c r="R327" s="19">
        <v>13.13</v>
      </c>
      <c r="S327" s="19">
        <v>11</v>
      </c>
      <c r="T327" s="19">
        <v>16.3</v>
      </c>
      <c r="U327" s="20">
        <v>306.31</v>
      </c>
      <c r="V327" s="16" t="s">
        <v>6</v>
      </c>
      <c r="W327" s="21">
        <v>0</v>
      </c>
      <c r="X327" s="21">
        <v>0</v>
      </c>
      <c r="Y327" s="21">
        <v>0</v>
      </c>
      <c r="Z327" s="21">
        <v>0</v>
      </c>
      <c r="AA327" s="21">
        <v>0</v>
      </c>
      <c r="AB327" s="21">
        <v>0</v>
      </c>
      <c r="AC327" s="21">
        <v>0.08</v>
      </c>
      <c r="AD327" s="21">
        <v>0.92</v>
      </c>
      <c r="AE327" s="21">
        <v>7.09</v>
      </c>
      <c r="AF327" s="21">
        <v>6.98</v>
      </c>
      <c r="AG327" s="21">
        <v>11.2</v>
      </c>
      <c r="AH327" s="18" t="s">
        <v>34</v>
      </c>
      <c r="AI327" s="13" t="str">
        <f>VLOOKUP(AH327,'Hess and Brezowsky'!$B$2:$G$31,2,FALSE)</f>
        <v>Meridional</v>
      </c>
      <c r="AJ327" s="18" t="str">
        <f>VLOOKUP(AH327,'Hess and Brezowsky'!$B$2:$G$31,3,FALSE)</f>
        <v>A</v>
      </c>
      <c r="AK327" s="13" t="str">
        <f>VLOOKUP(AH327,'Hess and Brezowsky'!$B$2:$G$31,4,FALSE)</f>
        <v>Icelandic High, Ride Central Europe</v>
      </c>
      <c r="AL327" s="29">
        <v>0.18900462962962963</v>
      </c>
      <c r="AM327" s="29">
        <v>0.49231481481481482</v>
      </c>
      <c r="AN327" s="30">
        <v>0.79562500000000003</v>
      </c>
    </row>
    <row r="328" spans="1:40" ht="15.75" customHeight="1" x14ac:dyDescent="0.2">
      <c r="A328" s="27">
        <v>45048</v>
      </c>
      <c r="B328" s="13">
        <v>2023</v>
      </c>
      <c r="C328" s="13">
        <v>122</v>
      </c>
      <c r="D328" s="13">
        <f t="shared" si="14"/>
        <v>3</v>
      </c>
      <c r="E328" s="13"/>
      <c r="F328" s="13">
        <f t="shared" si="13"/>
        <v>3</v>
      </c>
      <c r="G328" s="14">
        <v>1</v>
      </c>
      <c r="H328" s="14">
        <v>0</v>
      </c>
      <c r="I328" s="14">
        <v>1</v>
      </c>
      <c r="J328" s="14">
        <v>0</v>
      </c>
      <c r="K328" s="14">
        <v>0</v>
      </c>
      <c r="L328" s="14">
        <v>0.95</v>
      </c>
      <c r="M328" s="15">
        <v>41.804000000000002</v>
      </c>
      <c r="N328" s="16" t="str">
        <f t="shared" si="15"/>
        <v>NE</v>
      </c>
      <c r="O328" s="17">
        <v>5.7</v>
      </c>
      <c r="P328" s="16" t="s">
        <v>137</v>
      </c>
      <c r="Q328" s="18">
        <v>0.2</v>
      </c>
      <c r="R328" s="19">
        <v>14.39</v>
      </c>
      <c r="S328" s="19">
        <v>9.8000000000000007</v>
      </c>
      <c r="T328" s="19">
        <v>19.100000000000001</v>
      </c>
      <c r="U328" s="20">
        <v>41.51</v>
      </c>
      <c r="V328" s="16" t="s">
        <v>10</v>
      </c>
      <c r="W328" s="21">
        <v>0.21</v>
      </c>
      <c r="X328" s="21">
        <v>0.67</v>
      </c>
      <c r="Y328" s="21">
        <v>0.08</v>
      </c>
      <c r="Z328" s="21">
        <v>0</v>
      </c>
      <c r="AA328" s="21">
        <v>0</v>
      </c>
      <c r="AB328" s="21">
        <v>0</v>
      </c>
      <c r="AC328" s="21">
        <v>0</v>
      </c>
      <c r="AD328" s="21">
        <v>0.04</v>
      </c>
      <c r="AE328" s="21">
        <v>5.88</v>
      </c>
      <c r="AF328" s="21">
        <v>5.1100000000000003</v>
      </c>
      <c r="AG328" s="21">
        <v>11.4</v>
      </c>
      <c r="AH328" s="18" t="s">
        <v>34</v>
      </c>
      <c r="AI328" s="13" t="str">
        <f>VLOOKUP(AH328,'Hess and Brezowsky'!$B$2:$G$31,2,FALSE)</f>
        <v>Meridional</v>
      </c>
      <c r="AJ328" s="18" t="str">
        <f>VLOOKUP(AH328,'Hess and Brezowsky'!$B$2:$G$31,3,FALSE)</f>
        <v>A</v>
      </c>
      <c r="AK328" s="13" t="str">
        <f>VLOOKUP(AH328,'Hess and Brezowsky'!$B$2:$G$31,4,FALSE)</f>
        <v>Icelandic High, Ride Central Europe</v>
      </c>
      <c r="AL328" s="29">
        <v>0.18783564814814815</v>
      </c>
      <c r="AM328" s="29">
        <v>0.49224537037037036</v>
      </c>
      <c r="AN328" s="30">
        <v>0.7966550925925926</v>
      </c>
    </row>
    <row r="329" spans="1:40" ht="15.75" customHeight="1" x14ac:dyDescent="0.2">
      <c r="A329" s="27">
        <v>45049</v>
      </c>
      <c r="B329" s="13">
        <v>2023</v>
      </c>
      <c r="C329" s="13">
        <v>123</v>
      </c>
      <c r="D329" s="13">
        <f t="shared" si="14"/>
        <v>4</v>
      </c>
      <c r="E329" s="13"/>
      <c r="F329" s="13">
        <f t="shared" si="13"/>
        <v>3</v>
      </c>
      <c r="G329" s="14">
        <v>1</v>
      </c>
      <c r="H329" s="14">
        <v>0</v>
      </c>
      <c r="I329" s="14">
        <v>1</v>
      </c>
      <c r="J329" s="14">
        <v>0</v>
      </c>
      <c r="K329" s="14">
        <v>0</v>
      </c>
      <c r="L329" s="14">
        <v>1</v>
      </c>
      <c r="M329" s="15">
        <v>83.08</v>
      </c>
      <c r="N329" s="16" t="str">
        <f t="shared" si="15"/>
        <v>E</v>
      </c>
      <c r="O329" s="17">
        <v>8.3000000000000007</v>
      </c>
      <c r="P329" s="16" t="s">
        <v>139</v>
      </c>
      <c r="Q329" s="18">
        <v>0</v>
      </c>
      <c r="R329" s="19">
        <v>15.88</v>
      </c>
      <c r="S329" s="19">
        <v>8.3000000000000007</v>
      </c>
      <c r="T329" s="19">
        <v>22.3</v>
      </c>
      <c r="U329" s="20">
        <v>87.3</v>
      </c>
      <c r="V329" s="16" t="s">
        <v>9</v>
      </c>
      <c r="W329" s="21">
        <v>0</v>
      </c>
      <c r="X329" s="21">
        <v>0.04</v>
      </c>
      <c r="Y329" s="21">
        <v>0.96</v>
      </c>
      <c r="Z329" s="21">
        <v>0</v>
      </c>
      <c r="AA329" s="21">
        <v>0</v>
      </c>
      <c r="AB329" s="21">
        <v>0</v>
      </c>
      <c r="AC329" s="21">
        <v>0</v>
      </c>
      <c r="AD329" s="21">
        <v>0</v>
      </c>
      <c r="AE329" s="21">
        <v>8.61</v>
      </c>
      <c r="AF329" s="21">
        <v>8.4600000000000009</v>
      </c>
      <c r="AG329" s="21">
        <v>16</v>
      </c>
      <c r="AH329" s="18" t="s">
        <v>34</v>
      </c>
      <c r="AI329" s="13" t="str">
        <f>VLOOKUP(AH329,'Hess and Brezowsky'!$B$2:$G$31,2,FALSE)</f>
        <v>Meridional</v>
      </c>
      <c r="AJ329" s="18" t="str">
        <f>VLOOKUP(AH329,'Hess and Brezowsky'!$B$2:$G$31,3,FALSE)</f>
        <v>A</v>
      </c>
      <c r="AK329" s="13" t="str">
        <f>VLOOKUP(AH329,'Hess and Brezowsky'!$B$2:$G$31,4,FALSE)</f>
        <v>Icelandic High, Ride Central Europe</v>
      </c>
      <c r="AL329" s="29">
        <v>0.18667824074074074</v>
      </c>
      <c r="AM329" s="29">
        <v>0.49217592592592591</v>
      </c>
      <c r="AN329" s="30">
        <v>0.79767361111111112</v>
      </c>
    </row>
    <row r="330" spans="1:40" ht="15.75" customHeight="1" x14ac:dyDescent="0.2">
      <c r="A330" s="27">
        <v>45050</v>
      </c>
      <c r="B330" s="13">
        <v>2023</v>
      </c>
      <c r="C330" s="13">
        <v>124</v>
      </c>
      <c r="D330" s="13">
        <f t="shared" si="14"/>
        <v>5</v>
      </c>
      <c r="E330" s="13"/>
      <c r="F330" s="13">
        <f t="shared" si="13"/>
        <v>3</v>
      </c>
      <c r="G330" s="14">
        <v>1</v>
      </c>
      <c r="H330" s="14">
        <v>0</v>
      </c>
      <c r="I330" s="14">
        <v>1</v>
      </c>
      <c r="J330" s="14">
        <v>0</v>
      </c>
      <c r="K330" s="14">
        <v>0</v>
      </c>
      <c r="L330" s="14">
        <v>1</v>
      </c>
      <c r="M330" s="15">
        <v>183.29400000000001</v>
      </c>
      <c r="N330" s="16" t="str">
        <f t="shared" si="15"/>
        <v>S</v>
      </c>
      <c r="O330" s="17">
        <v>9.1999999999999993</v>
      </c>
      <c r="P330" s="16" t="s">
        <v>137</v>
      </c>
      <c r="Q330" s="18">
        <v>0</v>
      </c>
      <c r="R330" s="19">
        <v>18.27</v>
      </c>
      <c r="S330" s="19">
        <v>11.7</v>
      </c>
      <c r="T330" s="19">
        <v>24</v>
      </c>
      <c r="U330" s="20">
        <v>180.64</v>
      </c>
      <c r="V330" s="16" t="s">
        <v>13</v>
      </c>
      <c r="W330" s="21">
        <v>0</v>
      </c>
      <c r="X330" s="21">
        <v>0</v>
      </c>
      <c r="Y330" s="21">
        <v>0</v>
      </c>
      <c r="Z330" s="21">
        <v>0.33</v>
      </c>
      <c r="AA330" s="21">
        <v>0.21</v>
      </c>
      <c r="AB330" s="21">
        <v>0.42</v>
      </c>
      <c r="AC330" s="21">
        <v>0.04</v>
      </c>
      <c r="AD330" s="21">
        <v>0</v>
      </c>
      <c r="AE330" s="21">
        <v>8.73</v>
      </c>
      <c r="AF330" s="21">
        <v>5.46</v>
      </c>
      <c r="AG330" s="21">
        <v>14.5</v>
      </c>
      <c r="AH330" s="18" t="s">
        <v>34</v>
      </c>
      <c r="AI330" s="13" t="str">
        <f>VLOOKUP(AH330,'Hess and Brezowsky'!$B$2:$G$31,2,FALSE)</f>
        <v>Meridional</v>
      </c>
      <c r="AJ330" s="18" t="str">
        <f>VLOOKUP(AH330,'Hess and Brezowsky'!$B$2:$G$31,3,FALSE)</f>
        <v>A</v>
      </c>
      <c r="AK330" s="13" t="str">
        <f>VLOOKUP(AH330,'Hess and Brezowsky'!$B$2:$G$31,4,FALSE)</f>
        <v>Icelandic High, Ride Central Europe</v>
      </c>
      <c r="AL330" s="29">
        <v>0.18554398148148149</v>
      </c>
      <c r="AM330" s="29">
        <v>0.49211805555555554</v>
      </c>
      <c r="AN330" s="30">
        <v>0.79869212962962965</v>
      </c>
    </row>
    <row r="331" spans="1:40" ht="15.75" customHeight="1" x14ac:dyDescent="0.2">
      <c r="A331" s="27">
        <v>45051</v>
      </c>
      <c r="B331" s="13">
        <v>2023</v>
      </c>
      <c r="C331" s="13">
        <v>125</v>
      </c>
      <c r="D331" s="13">
        <f t="shared" si="14"/>
        <v>6</v>
      </c>
      <c r="E331" s="13"/>
      <c r="F331" s="13">
        <f t="shared" si="13"/>
        <v>3</v>
      </c>
      <c r="G331" s="14">
        <v>1</v>
      </c>
      <c r="H331" s="14">
        <v>0</v>
      </c>
      <c r="I331" s="14">
        <v>1</v>
      </c>
      <c r="J331" s="14">
        <v>0</v>
      </c>
      <c r="K331" s="14">
        <v>0</v>
      </c>
      <c r="L331" s="14">
        <v>1</v>
      </c>
      <c r="M331" s="15">
        <v>228.56299999999999</v>
      </c>
      <c r="N331" s="16" t="str">
        <f t="shared" si="15"/>
        <v>SW</v>
      </c>
      <c r="O331" s="17">
        <v>7.2</v>
      </c>
      <c r="P331" s="16" t="s">
        <v>137</v>
      </c>
      <c r="Q331" s="18">
        <v>2</v>
      </c>
      <c r="R331" s="19">
        <v>16.14</v>
      </c>
      <c r="S331" s="19">
        <v>12.6</v>
      </c>
      <c r="T331" s="19">
        <v>21.3</v>
      </c>
      <c r="U331" s="20">
        <v>231.56</v>
      </c>
      <c r="V331" s="16" t="s">
        <v>5</v>
      </c>
      <c r="W331" s="21">
        <v>0</v>
      </c>
      <c r="X331" s="21">
        <v>0</v>
      </c>
      <c r="Y331" s="21">
        <v>0</v>
      </c>
      <c r="Z331" s="21">
        <v>0</v>
      </c>
      <c r="AA331" s="21">
        <v>0.08</v>
      </c>
      <c r="AB331" s="21">
        <v>0.75</v>
      </c>
      <c r="AC331" s="21">
        <v>0.17</v>
      </c>
      <c r="AD331" s="21">
        <v>0</v>
      </c>
      <c r="AE331" s="21">
        <v>6.55</v>
      </c>
      <c r="AF331" s="21">
        <v>6.13</v>
      </c>
      <c r="AG331" s="21">
        <v>13.7</v>
      </c>
      <c r="AH331" s="18" t="s">
        <v>12</v>
      </c>
      <c r="AI331" s="13" t="str">
        <f>VLOOKUP(AH331,'Hess and Brezowsky'!$B$2:$G$31,2,FALSE)</f>
        <v>Undefined</v>
      </c>
      <c r="AJ331" s="18" t="str">
        <f>VLOOKUP(AH331,'Hess and Brezowsky'!$B$2:$G$31,3,FALSE)</f>
        <v>M</v>
      </c>
      <c r="AK331" s="13" t="str">
        <f>VLOOKUP(AH331,'Hess and Brezowsky'!$B$2:$G$31,4,FALSE)</f>
        <v>Transistion / Undefined</v>
      </c>
      <c r="AL331" s="29">
        <v>0.18442129629629631</v>
      </c>
      <c r="AM331" s="29">
        <v>0.49206018518518518</v>
      </c>
      <c r="AN331" s="30">
        <v>0.79971064814814818</v>
      </c>
    </row>
    <row r="332" spans="1:40" ht="15.75" customHeight="1" x14ac:dyDescent="0.2">
      <c r="A332" s="27">
        <v>45052</v>
      </c>
      <c r="B332" s="13">
        <v>2023</v>
      </c>
      <c r="C332" s="13">
        <v>126</v>
      </c>
      <c r="D332" s="13">
        <f t="shared" si="14"/>
        <v>7</v>
      </c>
      <c r="E332" s="13"/>
      <c r="F332" s="13">
        <f t="shared" si="13"/>
        <v>3</v>
      </c>
      <c r="G332" s="14">
        <v>1</v>
      </c>
      <c r="H332" s="14">
        <v>0</v>
      </c>
      <c r="I332" s="14">
        <v>1</v>
      </c>
      <c r="J332" s="14">
        <v>0</v>
      </c>
      <c r="K332" s="14">
        <v>0</v>
      </c>
      <c r="L332" s="14">
        <v>0.95</v>
      </c>
      <c r="M332" s="15">
        <v>203.43</v>
      </c>
      <c r="N332" s="16" t="str">
        <f t="shared" si="15"/>
        <v>SW</v>
      </c>
      <c r="O332" s="17">
        <v>4.3</v>
      </c>
      <c r="P332" s="16" t="s">
        <v>137</v>
      </c>
      <c r="Q332" s="18">
        <v>13.6</v>
      </c>
      <c r="R332" s="19">
        <v>16.62</v>
      </c>
      <c r="S332" s="19">
        <v>11.8</v>
      </c>
      <c r="T332" s="19">
        <v>21.4</v>
      </c>
      <c r="U332" s="20">
        <v>201.19</v>
      </c>
      <c r="V332" s="16" t="s">
        <v>13</v>
      </c>
      <c r="W332" s="21">
        <v>0.04</v>
      </c>
      <c r="X332" s="21">
        <v>0.17</v>
      </c>
      <c r="Y332" s="21">
        <v>0.04</v>
      </c>
      <c r="Z332" s="21">
        <v>0.04</v>
      </c>
      <c r="AA332" s="21">
        <v>0.25</v>
      </c>
      <c r="AB332" s="21">
        <v>0.38</v>
      </c>
      <c r="AC332" s="21">
        <v>0.04</v>
      </c>
      <c r="AD332" s="21">
        <v>0.04</v>
      </c>
      <c r="AE332" s="21">
        <v>3.91</v>
      </c>
      <c r="AF332" s="21">
        <v>1.66</v>
      </c>
      <c r="AG332" s="21">
        <v>7.8</v>
      </c>
      <c r="AH332" s="18" t="s">
        <v>27</v>
      </c>
      <c r="AI332" s="13" t="str">
        <f>VLOOKUP(AH332,'Hess and Brezowsky'!$B$2:$G$31,2,FALSE)</f>
        <v>Meridional</v>
      </c>
      <c r="AJ332" s="18" t="str">
        <f>VLOOKUP(AH332,'Hess and Brezowsky'!$B$2:$G$31,3,FALSE)</f>
        <v>A</v>
      </c>
      <c r="AK332" s="13" t="str">
        <f>VLOOKUP(AH332,'Hess and Brezowsky'!$B$2:$G$31,4,FALSE)</f>
        <v>Anticyclonic South-Easterly</v>
      </c>
      <c r="AL332" s="29">
        <v>0.18331018518518519</v>
      </c>
      <c r="AM332" s="29">
        <v>0.49201388888888886</v>
      </c>
      <c r="AN332" s="30">
        <v>0.80071759259259256</v>
      </c>
    </row>
    <row r="333" spans="1:40" ht="15.75" customHeight="1" x14ac:dyDescent="0.2">
      <c r="A333" s="27">
        <v>45053</v>
      </c>
      <c r="B333" s="13">
        <v>2023</v>
      </c>
      <c r="C333" s="13">
        <v>127</v>
      </c>
      <c r="D333" s="13">
        <f t="shared" si="14"/>
        <v>1</v>
      </c>
      <c r="E333" s="13"/>
      <c r="F333" s="13">
        <f t="shared" si="13"/>
        <v>3</v>
      </c>
      <c r="G333" s="14">
        <v>1</v>
      </c>
      <c r="H333" s="14">
        <v>0</v>
      </c>
      <c r="I333" s="14">
        <v>1</v>
      </c>
      <c r="J333" s="14">
        <v>0</v>
      </c>
      <c r="K333" s="14">
        <v>0</v>
      </c>
      <c r="L333" s="14">
        <v>0.79</v>
      </c>
      <c r="M333" s="15">
        <v>293.851</v>
      </c>
      <c r="N333" s="16" t="str">
        <f t="shared" si="15"/>
        <v>NW</v>
      </c>
      <c r="O333" s="17">
        <v>4.0999999999999996</v>
      </c>
      <c r="P333" s="16" t="s">
        <v>137</v>
      </c>
      <c r="Q333" s="18">
        <v>16.899999999999999</v>
      </c>
      <c r="R333" s="19">
        <v>15.53</v>
      </c>
      <c r="S333" s="19">
        <v>13.8</v>
      </c>
      <c r="T333" s="19">
        <v>18.7</v>
      </c>
      <c r="U333" s="20">
        <v>294.58999999999997</v>
      </c>
      <c r="V333" s="16" t="s">
        <v>6</v>
      </c>
      <c r="W333" s="21">
        <v>0.08</v>
      </c>
      <c r="X333" s="21">
        <v>0</v>
      </c>
      <c r="Y333" s="21">
        <v>0</v>
      </c>
      <c r="Z333" s="21">
        <v>0</v>
      </c>
      <c r="AA333" s="21">
        <v>0.08</v>
      </c>
      <c r="AB333" s="21">
        <v>0.25</v>
      </c>
      <c r="AC333" s="21">
        <v>0.17</v>
      </c>
      <c r="AD333" s="21">
        <v>0.42</v>
      </c>
      <c r="AE333" s="21">
        <v>4.42</v>
      </c>
      <c r="AF333" s="21">
        <v>3.19</v>
      </c>
      <c r="AG333" s="21">
        <v>11.1</v>
      </c>
      <c r="AH333" s="18" t="s">
        <v>27</v>
      </c>
      <c r="AI333" s="13" t="str">
        <f>VLOOKUP(AH333,'Hess and Brezowsky'!$B$2:$G$31,2,FALSE)</f>
        <v>Meridional</v>
      </c>
      <c r="AJ333" s="18" t="str">
        <f>VLOOKUP(AH333,'Hess and Brezowsky'!$B$2:$G$31,3,FALSE)</f>
        <v>A</v>
      </c>
      <c r="AK333" s="13" t="str">
        <f>VLOOKUP(AH333,'Hess and Brezowsky'!$B$2:$G$31,4,FALSE)</f>
        <v>Anticyclonic South-Easterly</v>
      </c>
      <c r="AL333" s="29">
        <v>0.18222222222222223</v>
      </c>
      <c r="AM333" s="29">
        <v>0.49197916666666669</v>
      </c>
      <c r="AN333" s="30">
        <v>0.80172453703703705</v>
      </c>
    </row>
    <row r="334" spans="1:40" ht="15.75" customHeight="1" x14ac:dyDescent="0.2">
      <c r="A334" s="27">
        <v>45054</v>
      </c>
      <c r="B334" s="13">
        <v>2023</v>
      </c>
      <c r="C334" s="13">
        <v>128</v>
      </c>
      <c r="D334" s="13">
        <f t="shared" si="14"/>
        <v>2</v>
      </c>
      <c r="E334" s="13"/>
      <c r="F334" s="13">
        <f t="shared" si="13"/>
        <v>3</v>
      </c>
      <c r="G334" s="14">
        <v>1</v>
      </c>
      <c r="H334" s="14">
        <v>0</v>
      </c>
      <c r="I334" s="14">
        <v>1</v>
      </c>
      <c r="J334" s="14">
        <v>0</v>
      </c>
      <c r="K334" s="14">
        <v>0</v>
      </c>
      <c r="L334" s="14">
        <v>0.95</v>
      </c>
      <c r="M334" s="15">
        <v>263.90300000000002</v>
      </c>
      <c r="N334" s="16" t="str">
        <f t="shared" si="15"/>
        <v>W</v>
      </c>
      <c r="O334" s="17">
        <v>3.7</v>
      </c>
      <c r="P334" s="16" t="s">
        <v>137</v>
      </c>
      <c r="Q334" s="18">
        <v>0</v>
      </c>
      <c r="R334" s="19">
        <v>15.53</v>
      </c>
      <c r="S334" s="19">
        <v>11.4</v>
      </c>
      <c r="T334" s="19">
        <v>19.600000000000001</v>
      </c>
      <c r="U334" s="20">
        <v>265.61</v>
      </c>
      <c r="V334" s="16" t="s">
        <v>16</v>
      </c>
      <c r="W334" s="21">
        <v>0</v>
      </c>
      <c r="X334" s="21">
        <v>0</v>
      </c>
      <c r="Y334" s="21">
        <v>0</v>
      </c>
      <c r="Z334" s="21">
        <v>0</v>
      </c>
      <c r="AA334" s="21">
        <v>0</v>
      </c>
      <c r="AB334" s="21">
        <v>0.42</v>
      </c>
      <c r="AC334" s="21">
        <v>0.25</v>
      </c>
      <c r="AD334" s="21">
        <v>0.33</v>
      </c>
      <c r="AE334" s="21">
        <v>3.37</v>
      </c>
      <c r="AF334" s="21">
        <v>2.65</v>
      </c>
      <c r="AG334" s="21">
        <v>7.3</v>
      </c>
      <c r="AH334" s="18" t="s">
        <v>27</v>
      </c>
      <c r="AI334" s="13" t="str">
        <f>VLOOKUP(AH334,'Hess and Brezowsky'!$B$2:$G$31,2,FALSE)</f>
        <v>Meridional</v>
      </c>
      <c r="AJ334" s="18" t="str">
        <f>VLOOKUP(AH334,'Hess and Brezowsky'!$B$2:$G$31,3,FALSE)</f>
        <v>A</v>
      </c>
      <c r="AK334" s="13" t="str">
        <f>VLOOKUP(AH334,'Hess and Brezowsky'!$B$2:$G$31,4,FALSE)</f>
        <v>Anticyclonic South-Easterly</v>
      </c>
      <c r="AL334" s="29">
        <v>0.18115740740740741</v>
      </c>
      <c r="AM334" s="29">
        <v>0.49194444444444446</v>
      </c>
      <c r="AN334" s="30">
        <v>0.8027199074074074</v>
      </c>
    </row>
    <row r="335" spans="1:40" ht="15.75" customHeight="1" x14ac:dyDescent="0.2">
      <c r="A335" s="27">
        <v>45055</v>
      </c>
      <c r="B335" s="13">
        <v>2023</v>
      </c>
      <c r="C335" s="13">
        <v>129</v>
      </c>
      <c r="D335" s="13">
        <f t="shared" si="14"/>
        <v>3</v>
      </c>
      <c r="E335" s="13"/>
      <c r="F335" s="13">
        <f t="shared" si="13"/>
        <v>3</v>
      </c>
      <c r="G335" s="14">
        <v>1</v>
      </c>
      <c r="H335" s="14">
        <v>0</v>
      </c>
      <c r="I335" s="14">
        <v>1</v>
      </c>
      <c r="J335" s="14">
        <v>0</v>
      </c>
      <c r="K335" s="14">
        <v>0</v>
      </c>
      <c r="L335" s="14">
        <v>0.95</v>
      </c>
      <c r="M335" s="15">
        <v>240.94200000000001</v>
      </c>
      <c r="N335" s="16" t="str">
        <f t="shared" si="15"/>
        <v>SW</v>
      </c>
      <c r="O335" s="17">
        <v>7.6</v>
      </c>
      <c r="P335" s="16" t="s">
        <v>140</v>
      </c>
      <c r="Q335" s="18">
        <v>12.7</v>
      </c>
      <c r="R335" s="19">
        <v>14.32</v>
      </c>
      <c r="S335" s="19">
        <v>11.8</v>
      </c>
      <c r="T335" s="19">
        <v>17.5</v>
      </c>
      <c r="U335" s="20">
        <v>243.08</v>
      </c>
      <c r="V335" s="16" t="s">
        <v>5</v>
      </c>
      <c r="W335" s="21">
        <v>0</v>
      </c>
      <c r="X335" s="21">
        <v>0</v>
      </c>
      <c r="Y335" s="21">
        <v>0</v>
      </c>
      <c r="Z335" s="21">
        <v>0</v>
      </c>
      <c r="AA335" s="21">
        <v>0.21</v>
      </c>
      <c r="AB335" s="21">
        <v>0.28999999999999998</v>
      </c>
      <c r="AC335" s="21">
        <v>0.5</v>
      </c>
      <c r="AD335" s="21">
        <v>0</v>
      </c>
      <c r="AE335" s="21">
        <v>8.2200000000000006</v>
      </c>
      <c r="AF335" s="21">
        <v>6.96</v>
      </c>
      <c r="AG335" s="21">
        <v>15.9</v>
      </c>
      <c r="AH335" s="18" t="s">
        <v>37</v>
      </c>
      <c r="AI335" s="13" t="str">
        <f>VLOOKUP(AH335,'Hess and Brezowsky'!$B$2:$G$31,2,FALSE)</f>
        <v>Zonal</v>
      </c>
      <c r="AJ335" s="18" t="str">
        <f>VLOOKUP(AH335,'Hess and Brezowsky'!$B$2:$G$31,3,FALSE)</f>
        <v>M</v>
      </c>
      <c r="AK335" s="13" t="str">
        <f>VLOOKUP(AH335,'Hess and Brezowsky'!$B$2:$G$31,4,FALSE)</f>
        <v>Maritime Westerly (Block Eastern Europe)</v>
      </c>
      <c r="AL335" s="29">
        <v>0.18010416666666668</v>
      </c>
      <c r="AM335" s="29">
        <v>0.49190972222222223</v>
      </c>
      <c r="AN335" s="30">
        <v>0.80371527777777774</v>
      </c>
    </row>
    <row r="336" spans="1:40" ht="15.75" customHeight="1" x14ac:dyDescent="0.2">
      <c r="A336" s="27">
        <v>45056</v>
      </c>
      <c r="B336" s="13">
        <v>2023</v>
      </c>
      <c r="C336" s="13">
        <v>130</v>
      </c>
      <c r="D336" s="13">
        <f t="shared" si="14"/>
        <v>4</v>
      </c>
      <c r="E336" s="13"/>
      <c r="F336" s="13">
        <f t="shared" si="13"/>
        <v>3</v>
      </c>
      <c r="G336" s="14">
        <v>1</v>
      </c>
      <c r="H336" s="14">
        <v>0</v>
      </c>
      <c r="I336" s="14">
        <v>1</v>
      </c>
      <c r="J336" s="14">
        <v>0</v>
      </c>
      <c r="K336" s="14">
        <v>0</v>
      </c>
      <c r="L336" s="14">
        <v>1</v>
      </c>
      <c r="M336" s="15">
        <v>284.36200000000002</v>
      </c>
      <c r="N336" s="16" t="str">
        <f t="shared" si="15"/>
        <v>W</v>
      </c>
      <c r="O336" s="17">
        <v>7.7</v>
      </c>
      <c r="P336" s="16" t="s">
        <v>137</v>
      </c>
      <c r="Q336" s="18">
        <v>4.8</v>
      </c>
      <c r="R336" s="19">
        <v>13.54</v>
      </c>
      <c r="S336" s="19">
        <v>10.4</v>
      </c>
      <c r="T336" s="19">
        <v>18.399999999999999</v>
      </c>
      <c r="U336" s="20">
        <v>279.16000000000003</v>
      </c>
      <c r="V336" s="16" t="s">
        <v>16</v>
      </c>
      <c r="W336" s="21">
        <v>0</v>
      </c>
      <c r="X336" s="21">
        <v>0</v>
      </c>
      <c r="Y336" s="21">
        <v>0</v>
      </c>
      <c r="Z336" s="21">
        <v>0</v>
      </c>
      <c r="AA336" s="21">
        <v>0</v>
      </c>
      <c r="AB336" s="21">
        <v>0.04</v>
      </c>
      <c r="AC336" s="21">
        <v>0.57999999999999996</v>
      </c>
      <c r="AD336" s="21">
        <v>0.38</v>
      </c>
      <c r="AE336" s="21">
        <v>8.94</v>
      </c>
      <c r="AF336" s="21">
        <v>8.4600000000000009</v>
      </c>
      <c r="AG336" s="21">
        <v>14.1</v>
      </c>
      <c r="AH336" s="18" t="s">
        <v>37</v>
      </c>
      <c r="AI336" s="13" t="str">
        <f>VLOOKUP(AH336,'Hess and Brezowsky'!$B$2:$G$31,2,FALSE)</f>
        <v>Zonal</v>
      </c>
      <c r="AJ336" s="18" t="str">
        <f>VLOOKUP(AH336,'Hess and Brezowsky'!$B$2:$G$31,3,FALSE)</f>
        <v>M</v>
      </c>
      <c r="AK336" s="13" t="str">
        <f>VLOOKUP(AH336,'Hess and Brezowsky'!$B$2:$G$31,4,FALSE)</f>
        <v>Maritime Westerly (Block Eastern Europe)</v>
      </c>
      <c r="AL336" s="29">
        <v>0.17907407407407408</v>
      </c>
      <c r="AM336" s="29">
        <v>0.4918865740740741</v>
      </c>
      <c r="AN336" s="30">
        <v>0.80471064814814819</v>
      </c>
    </row>
    <row r="337" spans="1:40" ht="15.75" customHeight="1" x14ac:dyDescent="0.2">
      <c r="A337" s="27">
        <v>45057</v>
      </c>
      <c r="B337" s="13">
        <v>2023</v>
      </c>
      <c r="C337" s="13">
        <v>131</v>
      </c>
      <c r="D337" s="13">
        <f t="shared" si="14"/>
        <v>5</v>
      </c>
      <c r="E337" s="13"/>
      <c r="F337" s="13">
        <f t="shared" si="13"/>
        <v>3</v>
      </c>
      <c r="G337" s="14">
        <v>1</v>
      </c>
      <c r="H337" s="14">
        <v>0</v>
      </c>
      <c r="I337" s="14">
        <v>1</v>
      </c>
      <c r="J337" s="14">
        <v>0</v>
      </c>
      <c r="K337" s="14">
        <v>0</v>
      </c>
      <c r="L337" s="14">
        <v>1</v>
      </c>
      <c r="M337" s="15">
        <v>328.37900000000002</v>
      </c>
      <c r="N337" s="16" t="str">
        <f t="shared" si="15"/>
        <v>NW</v>
      </c>
      <c r="O337" s="17">
        <v>4.5999999999999996</v>
      </c>
      <c r="P337" s="16" t="s">
        <v>137</v>
      </c>
      <c r="Q337" s="18">
        <v>0</v>
      </c>
      <c r="R337" s="19">
        <v>13.42</v>
      </c>
      <c r="S337" s="19">
        <v>11.4</v>
      </c>
      <c r="T337" s="19">
        <v>15.9</v>
      </c>
      <c r="U337" s="20">
        <v>320.8</v>
      </c>
      <c r="V337" s="16" t="s">
        <v>6</v>
      </c>
      <c r="W337" s="21">
        <v>0.33</v>
      </c>
      <c r="X337" s="21">
        <v>0.04</v>
      </c>
      <c r="Y337" s="21">
        <v>0</v>
      </c>
      <c r="Z337" s="21">
        <v>0</v>
      </c>
      <c r="AA337" s="21">
        <v>0</v>
      </c>
      <c r="AB337" s="21">
        <v>0</v>
      </c>
      <c r="AC337" s="21">
        <v>0.12</v>
      </c>
      <c r="AD337" s="21">
        <v>0.5</v>
      </c>
      <c r="AE337" s="21">
        <v>4.97</v>
      </c>
      <c r="AF337" s="21">
        <v>4.08</v>
      </c>
      <c r="AG337" s="21">
        <v>9.3000000000000007</v>
      </c>
      <c r="AH337" s="18" t="s">
        <v>37</v>
      </c>
      <c r="AI337" s="13" t="str">
        <f>VLOOKUP(AH337,'Hess and Brezowsky'!$B$2:$G$31,2,FALSE)</f>
        <v>Zonal</v>
      </c>
      <c r="AJ337" s="18" t="str">
        <f>VLOOKUP(AH337,'Hess and Brezowsky'!$B$2:$G$31,3,FALSE)</f>
        <v>M</v>
      </c>
      <c r="AK337" s="13" t="str">
        <f>VLOOKUP(AH337,'Hess and Brezowsky'!$B$2:$G$31,4,FALSE)</f>
        <v>Maritime Westerly (Block Eastern Europe)</v>
      </c>
      <c r="AL337" s="29">
        <v>0.17806712962962962</v>
      </c>
      <c r="AM337" s="29">
        <v>0.49187500000000001</v>
      </c>
      <c r="AN337" s="30">
        <v>0.80569444444444449</v>
      </c>
    </row>
    <row r="338" spans="1:40" ht="15.75" customHeight="1" x14ac:dyDescent="0.2">
      <c r="A338" s="27">
        <v>45058</v>
      </c>
      <c r="B338" s="13">
        <v>2023</v>
      </c>
      <c r="C338" s="13">
        <v>132</v>
      </c>
      <c r="D338" s="13">
        <f t="shared" si="14"/>
        <v>6</v>
      </c>
      <c r="E338" s="13"/>
      <c r="F338" s="13">
        <f t="shared" si="13"/>
        <v>3</v>
      </c>
      <c r="G338" s="14">
        <v>1</v>
      </c>
      <c r="H338" s="14">
        <v>0</v>
      </c>
      <c r="I338" s="14">
        <v>1</v>
      </c>
      <c r="J338" s="14">
        <v>0</v>
      </c>
      <c r="K338" s="14">
        <v>0</v>
      </c>
      <c r="L338" s="14">
        <v>1</v>
      </c>
      <c r="M338" s="15">
        <v>355.005</v>
      </c>
      <c r="N338" s="16" t="str">
        <f t="shared" si="15"/>
        <v>N</v>
      </c>
      <c r="O338" s="17">
        <v>6.5</v>
      </c>
      <c r="P338" s="16" t="s">
        <v>137</v>
      </c>
      <c r="Q338" s="18">
        <v>1.2</v>
      </c>
      <c r="R338" s="19">
        <v>12.61</v>
      </c>
      <c r="S338" s="19">
        <v>10.6</v>
      </c>
      <c r="T338" s="19">
        <v>14.4</v>
      </c>
      <c r="U338" s="20">
        <v>350.29</v>
      </c>
      <c r="V338" s="16" t="s">
        <v>7</v>
      </c>
      <c r="W338" s="21">
        <v>0.75</v>
      </c>
      <c r="X338" s="21">
        <v>0</v>
      </c>
      <c r="Y338" s="21">
        <v>0</v>
      </c>
      <c r="Z338" s="21">
        <v>0</v>
      </c>
      <c r="AA338" s="21">
        <v>0</v>
      </c>
      <c r="AB338" s="21">
        <v>0</v>
      </c>
      <c r="AC338" s="21">
        <v>0</v>
      </c>
      <c r="AD338" s="21">
        <v>0.25</v>
      </c>
      <c r="AE338" s="21">
        <v>6.51</v>
      </c>
      <c r="AF338" s="21">
        <v>6.29</v>
      </c>
      <c r="AG338" s="21">
        <v>10.5</v>
      </c>
      <c r="AH338" s="18" t="s">
        <v>17</v>
      </c>
      <c r="AI338" s="13" t="str">
        <f>VLOOKUP(AH338,'Hess and Brezowsky'!$B$2:$G$31,2,FALSE)</f>
        <v>Meridional</v>
      </c>
      <c r="AJ338" s="18" t="str">
        <f>VLOOKUP(AH338,'Hess and Brezowsky'!$B$2:$G$31,3,FALSE)</f>
        <v>C</v>
      </c>
      <c r="AK338" s="13" t="str">
        <f>VLOOKUP(AH338,'Hess and Brezowsky'!$B$2:$G$31,4,FALSE)</f>
        <v>Scandinavian High, Trough Central Europe</v>
      </c>
      <c r="AL338" s="29">
        <v>0.17707175925925925</v>
      </c>
      <c r="AM338" s="29">
        <v>0.49186342592592591</v>
      </c>
      <c r="AN338" s="30">
        <v>0.80666666666666664</v>
      </c>
    </row>
    <row r="339" spans="1:40" ht="15.75" customHeight="1" x14ac:dyDescent="0.2">
      <c r="A339" s="27">
        <v>45059</v>
      </c>
      <c r="B339" s="13">
        <v>2023</v>
      </c>
      <c r="C339" s="13">
        <v>133</v>
      </c>
      <c r="D339" s="13">
        <f t="shared" si="14"/>
        <v>7</v>
      </c>
      <c r="E339" s="13"/>
      <c r="F339" s="13">
        <f t="shared" si="13"/>
        <v>3</v>
      </c>
      <c r="G339" s="14">
        <v>1</v>
      </c>
      <c r="H339" s="14">
        <v>0</v>
      </c>
      <c r="I339" s="14">
        <v>1</v>
      </c>
      <c r="J339" s="14">
        <v>0</v>
      </c>
      <c r="K339" s="14">
        <v>0</v>
      </c>
      <c r="L339" s="14">
        <v>1</v>
      </c>
      <c r="M339" s="15">
        <v>15.041</v>
      </c>
      <c r="N339" s="16" t="str">
        <f t="shared" si="15"/>
        <v>N</v>
      </c>
      <c r="O339" s="17">
        <v>8.3000000000000007</v>
      </c>
      <c r="P339" s="16" t="s">
        <v>137</v>
      </c>
      <c r="Q339" s="18">
        <v>0</v>
      </c>
      <c r="R339" s="19">
        <v>15.86</v>
      </c>
      <c r="S339" s="19">
        <v>12</v>
      </c>
      <c r="T339" s="19">
        <v>22.6</v>
      </c>
      <c r="U339" s="20">
        <v>10.75</v>
      </c>
      <c r="V339" s="16" t="s">
        <v>7</v>
      </c>
      <c r="W339" s="21">
        <v>0.75</v>
      </c>
      <c r="X339" s="21">
        <v>0.21</v>
      </c>
      <c r="Y339" s="21">
        <v>0</v>
      </c>
      <c r="Z339" s="21">
        <v>0</v>
      </c>
      <c r="AA339" s="21">
        <v>0</v>
      </c>
      <c r="AB339" s="21">
        <v>0</v>
      </c>
      <c r="AC339" s="21">
        <v>0</v>
      </c>
      <c r="AD339" s="21">
        <v>0.04</v>
      </c>
      <c r="AE339" s="21">
        <v>7.46</v>
      </c>
      <c r="AF339" s="21">
        <v>7.1</v>
      </c>
      <c r="AG339" s="21">
        <v>13.2</v>
      </c>
      <c r="AH339" s="18" t="s">
        <v>17</v>
      </c>
      <c r="AI339" s="13" t="str">
        <f>VLOOKUP(AH339,'Hess and Brezowsky'!$B$2:$G$31,2,FALSE)</f>
        <v>Meridional</v>
      </c>
      <c r="AJ339" s="18" t="str">
        <f>VLOOKUP(AH339,'Hess and Brezowsky'!$B$2:$G$31,3,FALSE)</f>
        <v>C</v>
      </c>
      <c r="AK339" s="13" t="str">
        <f>VLOOKUP(AH339,'Hess and Brezowsky'!$B$2:$G$31,4,FALSE)</f>
        <v>Scandinavian High, Trough Central Europe</v>
      </c>
      <c r="AL339" s="29">
        <v>0.17609953703703704</v>
      </c>
      <c r="AM339" s="29">
        <v>0.49186342592592591</v>
      </c>
      <c r="AN339" s="30">
        <v>0.80763888888888891</v>
      </c>
    </row>
    <row r="340" spans="1:40" ht="15.75" customHeight="1" x14ac:dyDescent="0.2">
      <c r="A340" s="27">
        <v>45060</v>
      </c>
      <c r="B340" s="13">
        <v>2023</v>
      </c>
      <c r="C340" s="13">
        <v>134</v>
      </c>
      <c r="D340" s="13">
        <f t="shared" si="14"/>
        <v>1</v>
      </c>
      <c r="E340" s="13"/>
      <c r="F340" s="13">
        <f t="shared" si="13"/>
        <v>3</v>
      </c>
      <c r="G340" s="14">
        <v>1</v>
      </c>
      <c r="H340" s="14">
        <v>0</v>
      </c>
      <c r="I340" s="14">
        <v>1</v>
      </c>
      <c r="J340" s="14">
        <v>0</v>
      </c>
      <c r="K340" s="14">
        <v>0</v>
      </c>
      <c r="L340" s="14">
        <v>1</v>
      </c>
      <c r="M340" s="15">
        <v>351.48700000000002</v>
      </c>
      <c r="N340" s="16" t="str">
        <f t="shared" si="15"/>
        <v>N</v>
      </c>
      <c r="O340" s="17">
        <v>5.6</v>
      </c>
      <c r="P340" s="16" t="s">
        <v>137</v>
      </c>
      <c r="Q340" s="18">
        <v>0</v>
      </c>
      <c r="R340" s="19">
        <v>14.14</v>
      </c>
      <c r="S340" s="19">
        <v>10</v>
      </c>
      <c r="T340" s="19">
        <v>20.9</v>
      </c>
      <c r="U340" s="20">
        <v>339.93</v>
      </c>
      <c r="V340" s="16" t="s">
        <v>7</v>
      </c>
      <c r="W340" s="21">
        <v>0.46</v>
      </c>
      <c r="X340" s="21">
        <v>0</v>
      </c>
      <c r="Y340" s="21">
        <v>0</v>
      </c>
      <c r="Z340" s="21">
        <v>0</v>
      </c>
      <c r="AA340" s="21">
        <v>0</v>
      </c>
      <c r="AB340" s="21">
        <v>0</v>
      </c>
      <c r="AC340" s="21">
        <v>0</v>
      </c>
      <c r="AD340" s="21">
        <v>0.54</v>
      </c>
      <c r="AE340" s="21">
        <v>5.2</v>
      </c>
      <c r="AF340" s="21">
        <v>5.08</v>
      </c>
      <c r="AG340" s="21">
        <v>8.1999999999999993</v>
      </c>
      <c r="AH340" s="18" t="s">
        <v>17</v>
      </c>
      <c r="AI340" s="13" t="str">
        <f>VLOOKUP(AH340,'Hess and Brezowsky'!$B$2:$G$31,2,FALSE)</f>
        <v>Meridional</v>
      </c>
      <c r="AJ340" s="18" t="str">
        <f>VLOOKUP(AH340,'Hess and Brezowsky'!$B$2:$G$31,3,FALSE)</f>
        <v>C</v>
      </c>
      <c r="AK340" s="13" t="str">
        <f>VLOOKUP(AH340,'Hess and Brezowsky'!$B$2:$G$31,4,FALSE)</f>
        <v>Scandinavian High, Trough Central Europe</v>
      </c>
      <c r="AL340" s="29">
        <v>0.17515046296296297</v>
      </c>
      <c r="AM340" s="29">
        <v>0.49187500000000001</v>
      </c>
      <c r="AN340" s="30">
        <v>0.80859953703703702</v>
      </c>
    </row>
    <row r="341" spans="1:40" ht="15.75" customHeight="1" x14ac:dyDescent="0.2">
      <c r="A341" s="27">
        <v>45061</v>
      </c>
      <c r="B341" s="13">
        <v>2023</v>
      </c>
      <c r="C341" s="13">
        <v>135</v>
      </c>
      <c r="D341" s="13">
        <f t="shared" si="14"/>
        <v>2</v>
      </c>
      <c r="E341" s="13"/>
      <c r="F341" s="13">
        <f t="shared" si="13"/>
        <v>3</v>
      </c>
      <c r="G341" s="14">
        <v>1</v>
      </c>
      <c r="H341" s="14">
        <v>0</v>
      </c>
      <c r="I341" s="14">
        <v>1</v>
      </c>
      <c r="J341" s="14">
        <v>0</v>
      </c>
      <c r="K341" s="14">
        <v>0</v>
      </c>
      <c r="L341" s="14">
        <v>1</v>
      </c>
      <c r="M341" s="15">
        <v>342.25799999999998</v>
      </c>
      <c r="N341" s="16" t="str">
        <f t="shared" si="15"/>
        <v>N</v>
      </c>
      <c r="O341" s="17">
        <v>6.7</v>
      </c>
      <c r="P341" s="16" t="s">
        <v>137</v>
      </c>
      <c r="Q341" s="18">
        <v>2.6</v>
      </c>
      <c r="R341" s="19">
        <v>12.1</v>
      </c>
      <c r="S341" s="19">
        <v>9</v>
      </c>
      <c r="T341" s="19">
        <v>15.9</v>
      </c>
      <c r="U341" s="20">
        <v>333.55</v>
      </c>
      <c r="V341" s="16" t="s">
        <v>6</v>
      </c>
      <c r="W341" s="21">
        <v>0.38</v>
      </c>
      <c r="X341" s="21">
        <v>0</v>
      </c>
      <c r="Y341" s="21">
        <v>0</v>
      </c>
      <c r="Z341" s="21">
        <v>0</v>
      </c>
      <c r="AA341" s="21">
        <v>0</v>
      </c>
      <c r="AB341" s="21">
        <v>0</v>
      </c>
      <c r="AC341" s="21">
        <v>0</v>
      </c>
      <c r="AD341" s="21">
        <v>0.62</v>
      </c>
      <c r="AE341" s="21">
        <v>6.5</v>
      </c>
      <c r="AF341" s="21">
        <v>6.01</v>
      </c>
      <c r="AG341" s="21">
        <v>12.9</v>
      </c>
      <c r="AH341" s="18" t="s">
        <v>12</v>
      </c>
      <c r="AI341" s="13" t="str">
        <f>VLOOKUP(AH341,'Hess and Brezowsky'!$B$2:$G$31,2,FALSE)</f>
        <v>Undefined</v>
      </c>
      <c r="AJ341" s="18" t="str">
        <f>VLOOKUP(AH341,'Hess and Brezowsky'!$B$2:$G$31,3,FALSE)</f>
        <v>M</v>
      </c>
      <c r="AK341" s="13" t="str">
        <f>VLOOKUP(AH341,'Hess and Brezowsky'!$B$2:$G$31,4,FALSE)</f>
        <v>Transistion / Undefined</v>
      </c>
      <c r="AL341" s="29">
        <v>0.17421296296296296</v>
      </c>
      <c r="AM341" s="29">
        <v>0.4918865740740741</v>
      </c>
      <c r="AN341" s="30">
        <v>0.80954861111111109</v>
      </c>
    </row>
    <row r="342" spans="1:40" ht="15.75" customHeight="1" x14ac:dyDescent="0.2">
      <c r="A342" s="27">
        <v>45062</v>
      </c>
      <c r="B342" s="13">
        <v>2023</v>
      </c>
      <c r="C342" s="13">
        <v>136</v>
      </c>
      <c r="D342" s="13">
        <f t="shared" si="14"/>
        <v>3</v>
      </c>
      <c r="E342" s="13"/>
      <c r="F342" s="13">
        <f t="shared" si="13"/>
        <v>3</v>
      </c>
      <c r="G342" s="14">
        <v>1</v>
      </c>
      <c r="H342" s="14">
        <v>0</v>
      </c>
      <c r="I342" s="14">
        <v>1</v>
      </c>
      <c r="J342" s="14">
        <v>0</v>
      </c>
      <c r="K342" s="14">
        <v>0</v>
      </c>
      <c r="L342" s="14">
        <v>1</v>
      </c>
      <c r="M342" s="15">
        <v>10.077</v>
      </c>
      <c r="N342" s="16" t="str">
        <f t="shared" si="15"/>
        <v>N</v>
      </c>
      <c r="O342" s="17">
        <v>9.1999999999999993</v>
      </c>
      <c r="P342" s="16" t="s">
        <v>137</v>
      </c>
      <c r="Q342" s="18">
        <v>0</v>
      </c>
      <c r="R342" s="19">
        <v>12.42</v>
      </c>
      <c r="S342" s="19">
        <v>7.2</v>
      </c>
      <c r="T342" s="19">
        <v>17.399999999999999</v>
      </c>
      <c r="U342" s="20">
        <v>5.14</v>
      </c>
      <c r="V342" s="16" t="s">
        <v>7</v>
      </c>
      <c r="W342" s="21">
        <v>1</v>
      </c>
      <c r="X342" s="21">
        <v>0</v>
      </c>
      <c r="Y342" s="21">
        <v>0</v>
      </c>
      <c r="Z342" s="21">
        <v>0</v>
      </c>
      <c r="AA342" s="21">
        <v>0</v>
      </c>
      <c r="AB342" s="21">
        <v>0</v>
      </c>
      <c r="AC342" s="21">
        <v>0</v>
      </c>
      <c r="AD342" s="21">
        <v>0</v>
      </c>
      <c r="AE342" s="21">
        <v>9.31</v>
      </c>
      <c r="AF342" s="21">
        <v>9.2799999999999994</v>
      </c>
      <c r="AG342" s="21">
        <v>13</v>
      </c>
      <c r="AH342" s="18" t="s">
        <v>43</v>
      </c>
      <c r="AI342" s="13" t="str">
        <f>VLOOKUP(AH342,'Hess and Brezowsky'!$B$2:$G$31,2,FALSE)</f>
        <v>Meridional</v>
      </c>
      <c r="AJ342" s="18" t="str">
        <f>VLOOKUP(AH342,'Hess and Brezowsky'!$B$2:$G$31,3,FALSE)</f>
        <v>C</v>
      </c>
      <c r="AK342" s="13" t="str">
        <f>VLOOKUP(AH342,'Hess and Brezowsky'!$B$2:$G$31,4,FALSE)</f>
        <v>Cyclonic North-Easterly</v>
      </c>
      <c r="AL342" s="29">
        <v>0.17331018518518518</v>
      </c>
      <c r="AM342" s="29">
        <v>0.49189814814814814</v>
      </c>
      <c r="AN342" s="30">
        <v>0.81048611111111113</v>
      </c>
    </row>
    <row r="343" spans="1:40" ht="15.75" customHeight="1" x14ac:dyDescent="0.2">
      <c r="A343" s="27">
        <v>45063</v>
      </c>
      <c r="B343" s="13">
        <v>2023</v>
      </c>
      <c r="C343" s="13">
        <v>137</v>
      </c>
      <c r="D343" s="13">
        <f t="shared" si="14"/>
        <v>4</v>
      </c>
      <c r="E343" s="13"/>
      <c r="F343" s="13">
        <f t="shared" si="13"/>
        <v>3</v>
      </c>
      <c r="G343" s="14">
        <v>1</v>
      </c>
      <c r="H343" s="14">
        <v>0</v>
      </c>
      <c r="I343" s="14">
        <v>1</v>
      </c>
      <c r="J343" s="14">
        <v>0</v>
      </c>
      <c r="K343" s="14">
        <v>0</v>
      </c>
      <c r="L343" s="14">
        <v>1</v>
      </c>
      <c r="M343" s="15">
        <v>31.757999999999999</v>
      </c>
      <c r="N343" s="16" t="str">
        <f t="shared" si="15"/>
        <v>NE</v>
      </c>
      <c r="O343" s="17">
        <v>8.3000000000000007</v>
      </c>
      <c r="P343" s="16" t="s">
        <v>137</v>
      </c>
      <c r="Q343" s="18">
        <v>0</v>
      </c>
      <c r="R343" s="19">
        <v>13.84</v>
      </c>
      <c r="S343" s="19">
        <v>9.4</v>
      </c>
      <c r="T343" s="19">
        <v>18.899999999999999</v>
      </c>
      <c r="U343" s="20">
        <v>28.87</v>
      </c>
      <c r="V343" s="16" t="s">
        <v>10</v>
      </c>
      <c r="W343" s="21">
        <v>0.17</v>
      </c>
      <c r="X343" s="21">
        <v>0.83</v>
      </c>
      <c r="Y343" s="21">
        <v>0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8.2100000000000009</v>
      </c>
      <c r="AF343" s="21">
        <v>8.14</v>
      </c>
      <c r="AG343" s="21">
        <v>12.2</v>
      </c>
      <c r="AH343" s="18" t="s">
        <v>43</v>
      </c>
      <c r="AI343" s="13" t="str">
        <f>VLOOKUP(AH343,'Hess and Brezowsky'!$B$2:$G$31,2,FALSE)</f>
        <v>Meridional</v>
      </c>
      <c r="AJ343" s="18" t="str">
        <f>VLOOKUP(AH343,'Hess and Brezowsky'!$B$2:$G$31,3,FALSE)</f>
        <v>C</v>
      </c>
      <c r="AK343" s="13" t="str">
        <f>VLOOKUP(AH343,'Hess and Brezowsky'!$B$2:$G$31,4,FALSE)</f>
        <v>Cyclonic North-Easterly</v>
      </c>
      <c r="AL343" s="29">
        <v>0.17241898148148149</v>
      </c>
      <c r="AM343" s="29">
        <v>0.49192129629629627</v>
      </c>
      <c r="AN343" s="30">
        <v>0.81142361111111116</v>
      </c>
    </row>
    <row r="344" spans="1:40" ht="15.75" customHeight="1" x14ac:dyDescent="0.2">
      <c r="A344" s="27">
        <v>45064</v>
      </c>
      <c r="B344" s="13">
        <v>2023</v>
      </c>
      <c r="C344" s="13">
        <v>138</v>
      </c>
      <c r="D344" s="13">
        <f t="shared" si="14"/>
        <v>5</v>
      </c>
      <c r="E344" s="13"/>
      <c r="F344" s="13">
        <f t="shared" si="13"/>
        <v>3</v>
      </c>
      <c r="G344" s="14">
        <v>1</v>
      </c>
      <c r="H344" s="14">
        <v>0</v>
      </c>
      <c r="I344" s="14">
        <v>1</v>
      </c>
      <c r="J344" s="14">
        <v>0</v>
      </c>
      <c r="K344" s="14">
        <v>0</v>
      </c>
      <c r="L344" s="14">
        <v>1</v>
      </c>
      <c r="M344" s="15">
        <v>30.123999999999999</v>
      </c>
      <c r="N344" s="16" t="str">
        <f t="shared" si="15"/>
        <v>NE</v>
      </c>
      <c r="O344" s="17">
        <v>7.6</v>
      </c>
      <c r="P344" s="16" t="s">
        <v>137</v>
      </c>
      <c r="Q344" s="18">
        <v>0</v>
      </c>
      <c r="R344" s="19">
        <v>13.83</v>
      </c>
      <c r="S344" s="19">
        <v>8.6</v>
      </c>
      <c r="T344" s="19">
        <v>18.7</v>
      </c>
      <c r="U344" s="20">
        <v>26.17</v>
      </c>
      <c r="V344" s="16" t="s">
        <v>10</v>
      </c>
      <c r="W344" s="21">
        <v>0.54</v>
      </c>
      <c r="X344" s="21">
        <v>0.46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7.63</v>
      </c>
      <c r="AF344" s="21">
        <v>7.51</v>
      </c>
      <c r="AG344" s="21">
        <v>11.9</v>
      </c>
      <c r="AH344" s="18" t="s">
        <v>43</v>
      </c>
      <c r="AI344" s="13" t="str">
        <f>VLOOKUP(AH344,'Hess and Brezowsky'!$B$2:$G$31,2,FALSE)</f>
        <v>Meridional</v>
      </c>
      <c r="AJ344" s="18" t="str">
        <f>VLOOKUP(AH344,'Hess and Brezowsky'!$B$2:$G$31,3,FALSE)</f>
        <v>C</v>
      </c>
      <c r="AK344" s="13" t="str">
        <f>VLOOKUP(AH344,'Hess and Brezowsky'!$B$2:$G$31,4,FALSE)</f>
        <v>Cyclonic North-Easterly</v>
      </c>
      <c r="AL344" s="29">
        <v>0.17156250000000001</v>
      </c>
      <c r="AM344" s="29">
        <v>0.4919560185185185</v>
      </c>
      <c r="AN344" s="30">
        <v>0.81233796296296301</v>
      </c>
    </row>
    <row r="345" spans="1:40" ht="15.75" customHeight="1" x14ac:dyDescent="0.2">
      <c r="A345" s="27">
        <v>45065</v>
      </c>
      <c r="B345" s="13">
        <v>2023</v>
      </c>
      <c r="C345" s="13">
        <v>139</v>
      </c>
      <c r="D345" s="13">
        <f t="shared" si="14"/>
        <v>6</v>
      </c>
      <c r="E345" s="13"/>
      <c r="F345" s="13">
        <f t="shared" si="13"/>
        <v>3</v>
      </c>
      <c r="G345" s="14">
        <v>1</v>
      </c>
      <c r="H345" s="14">
        <v>0</v>
      </c>
      <c r="I345" s="14">
        <v>1</v>
      </c>
      <c r="J345" s="14">
        <v>0</v>
      </c>
      <c r="K345" s="14">
        <v>0</v>
      </c>
      <c r="L345" s="14">
        <v>1</v>
      </c>
      <c r="M345" s="15">
        <v>19.98</v>
      </c>
      <c r="N345" s="16" t="str">
        <f t="shared" si="15"/>
        <v>N</v>
      </c>
      <c r="O345" s="17">
        <v>8</v>
      </c>
      <c r="P345" s="16" t="s">
        <v>138</v>
      </c>
      <c r="Q345" s="18">
        <v>0</v>
      </c>
      <c r="R345" s="19">
        <v>15.23</v>
      </c>
      <c r="S345" s="19">
        <v>9.1999999999999993</v>
      </c>
      <c r="T345" s="19">
        <v>20.6</v>
      </c>
      <c r="U345" s="20">
        <v>13.88</v>
      </c>
      <c r="V345" s="16" t="s">
        <v>7</v>
      </c>
      <c r="W345" s="21">
        <v>1</v>
      </c>
      <c r="X345" s="21">
        <v>0</v>
      </c>
      <c r="Y345" s="21">
        <v>0</v>
      </c>
      <c r="Z345" s="21">
        <v>0</v>
      </c>
      <c r="AA345" s="21">
        <v>0</v>
      </c>
      <c r="AB345" s="21">
        <v>0</v>
      </c>
      <c r="AC345" s="21">
        <v>0</v>
      </c>
      <c r="AD345" s="21">
        <v>0</v>
      </c>
      <c r="AE345" s="21">
        <v>7.52</v>
      </c>
      <c r="AF345" s="21">
        <v>7.49</v>
      </c>
      <c r="AG345" s="21">
        <v>12.9</v>
      </c>
      <c r="AH345" s="18" t="s">
        <v>38</v>
      </c>
      <c r="AI345" s="13" t="str">
        <f>VLOOKUP(AH345,'Hess and Brezowsky'!$B$2:$G$31,2,FALSE)</f>
        <v>Meridional</v>
      </c>
      <c r="AJ345" s="18" t="str">
        <f>VLOOKUP(AH345,'Hess and Brezowsky'!$B$2:$G$31,3,FALSE)</f>
        <v>C</v>
      </c>
      <c r="AK345" s="13" t="str">
        <f>VLOOKUP(AH345,'Hess and Brezowsky'!$B$2:$G$31,4,FALSE)</f>
        <v>High Scandinavia-Iceland, Trough Central Europe</v>
      </c>
      <c r="AL345" s="29">
        <v>0.17071759259259259</v>
      </c>
      <c r="AM345" s="29">
        <v>0.49199074074074073</v>
      </c>
      <c r="AN345" s="30">
        <v>0.81325231481481486</v>
      </c>
    </row>
    <row r="346" spans="1:40" ht="15.75" customHeight="1" x14ac:dyDescent="0.2">
      <c r="A346" s="27">
        <v>45066</v>
      </c>
      <c r="B346" s="13">
        <v>2023</v>
      </c>
      <c r="C346" s="13">
        <v>140</v>
      </c>
      <c r="D346" s="13">
        <f t="shared" si="14"/>
        <v>7</v>
      </c>
      <c r="E346" s="13"/>
      <c r="F346" s="13">
        <f t="shared" si="13"/>
        <v>3</v>
      </c>
      <c r="G346" s="14">
        <v>1</v>
      </c>
      <c r="H346" s="14">
        <v>0</v>
      </c>
      <c r="I346" s="14">
        <v>1</v>
      </c>
      <c r="J346" s="14">
        <v>0</v>
      </c>
      <c r="K346" s="14">
        <v>0</v>
      </c>
      <c r="L346" s="14">
        <v>1</v>
      </c>
      <c r="M346" s="15">
        <v>20.957999999999998</v>
      </c>
      <c r="N346" s="16" t="str">
        <f t="shared" si="15"/>
        <v>N</v>
      </c>
      <c r="O346" s="17">
        <v>8.6999999999999993</v>
      </c>
      <c r="P346" s="16" t="s">
        <v>137</v>
      </c>
      <c r="Q346" s="18">
        <v>0</v>
      </c>
      <c r="R346" s="19">
        <v>16.940000000000001</v>
      </c>
      <c r="S346" s="19">
        <v>11.8</v>
      </c>
      <c r="T346" s="19">
        <v>22.4</v>
      </c>
      <c r="U346" s="20">
        <v>14.83</v>
      </c>
      <c r="V346" s="16" t="s">
        <v>7</v>
      </c>
      <c r="W346" s="21">
        <v>0.92</v>
      </c>
      <c r="X346" s="21">
        <v>0.08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8.17</v>
      </c>
      <c r="AF346" s="21">
        <v>8.1199999999999992</v>
      </c>
      <c r="AG346" s="21">
        <v>12</v>
      </c>
      <c r="AH346" s="18" t="s">
        <v>38</v>
      </c>
      <c r="AI346" s="13" t="str">
        <f>VLOOKUP(AH346,'Hess and Brezowsky'!$B$2:$G$31,2,FALSE)</f>
        <v>Meridional</v>
      </c>
      <c r="AJ346" s="18" t="str">
        <f>VLOOKUP(AH346,'Hess and Brezowsky'!$B$2:$G$31,3,FALSE)</f>
        <v>C</v>
      </c>
      <c r="AK346" s="13" t="str">
        <f>VLOOKUP(AH346,'Hess and Brezowsky'!$B$2:$G$31,4,FALSE)</f>
        <v>High Scandinavia-Iceland, Trough Central Europe</v>
      </c>
      <c r="AL346" s="29">
        <v>0.1699074074074074</v>
      </c>
      <c r="AM346" s="29">
        <v>0.49202546296296296</v>
      </c>
      <c r="AN346" s="30">
        <v>0.81414351851851852</v>
      </c>
    </row>
    <row r="347" spans="1:40" ht="15.75" customHeight="1" x14ac:dyDescent="0.2">
      <c r="A347" s="27">
        <v>45067</v>
      </c>
      <c r="B347" s="13">
        <v>2023</v>
      </c>
      <c r="C347" s="13">
        <v>141</v>
      </c>
      <c r="D347" s="13">
        <f t="shared" si="14"/>
        <v>1</v>
      </c>
      <c r="E347" s="13"/>
      <c r="F347" s="13">
        <f t="shared" si="13"/>
        <v>3</v>
      </c>
      <c r="G347" s="14">
        <v>1</v>
      </c>
      <c r="H347" s="14">
        <v>0</v>
      </c>
      <c r="I347" s="14">
        <v>1</v>
      </c>
      <c r="J347" s="14">
        <v>0</v>
      </c>
      <c r="K347" s="14">
        <v>0</v>
      </c>
      <c r="L347" s="14">
        <v>1</v>
      </c>
      <c r="M347" s="15">
        <v>15.414999999999999</v>
      </c>
      <c r="N347" s="16" t="str">
        <f t="shared" si="15"/>
        <v>N</v>
      </c>
      <c r="O347" s="17">
        <v>8.1</v>
      </c>
      <c r="P347" s="16" t="s">
        <v>137</v>
      </c>
      <c r="Q347" s="18">
        <v>0</v>
      </c>
      <c r="R347" s="19">
        <v>17.7</v>
      </c>
      <c r="S347" s="19">
        <v>13.3</v>
      </c>
      <c r="T347" s="19">
        <v>22.3</v>
      </c>
      <c r="U347" s="20">
        <v>11.06</v>
      </c>
      <c r="V347" s="16" t="s">
        <v>7</v>
      </c>
      <c r="W347" s="21">
        <v>0.83</v>
      </c>
      <c r="X347" s="21">
        <v>0.17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7.68</v>
      </c>
      <c r="AF347" s="21">
        <v>7.53</v>
      </c>
      <c r="AG347" s="21">
        <v>10.6</v>
      </c>
      <c r="AH347" s="18" t="s">
        <v>38</v>
      </c>
      <c r="AI347" s="13" t="str">
        <f>VLOOKUP(AH347,'Hess and Brezowsky'!$B$2:$G$31,2,FALSE)</f>
        <v>Meridional</v>
      </c>
      <c r="AJ347" s="18" t="str">
        <f>VLOOKUP(AH347,'Hess and Brezowsky'!$B$2:$G$31,3,FALSE)</f>
        <v>C</v>
      </c>
      <c r="AK347" s="13" t="str">
        <f>VLOOKUP(AH347,'Hess and Brezowsky'!$B$2:$G$31,4,FALSE)</f>
        <v>High Scandinavia-Iceland, Trough Central Europe</v>
      </c>
      <c r="AL347" s="29">
        <v>0.1691087962962963</v>
      </c>
      <c r="AM347" s="29">
        <v>0.49207175925925928</v>
      </c>
      <c r="AN347" s="30">
        <v>0.81503472222222217</v>
      </c>
    </row>
    <row r="348" spans="1:40" ht="15.75" customHeight="1" x14ac:dyDescent="0.2">
      <c r="A348" s="27">
        <v>45068</v>
      </c>
      <c r="B348" s="13">
        <v>2023</v>
      </c>
      <c r="C348" s="13">
        <v>142</v>
      </c>
      <c r="D348" s="13">
        <f t="shared" si="14"/>
        <v>2</v>
      </c>
      <c r="E348" s="13"/>
      <c r="F348" s="13">
        <f t="shared" si="13"/>
        <v>3</v>
      </c>
      <c r="G348" s="14">
        <v>1</v>
      </c>
      <c r="H348" s="14">
        <v>0</v>
      </c>
      <c r="I348" s="14">
        <v>1</v>
      </c>
      <c r="J348" s="14">
        <v>0</v>
      </c>
      <c r="K348" s="14">
        <v>0</v>
      </c>
      <c r="L348" s="14">
        <v>1</v>
      </c>
      <c r="M348" s="15">
        <v>354.01799999999997</v>
      </c>
      <c r="N348" s="16" t="str">
        <f t="shared" si="15"/>
        <v>N</v>
      </c>
      <c r="O348" s="17">
        <v>6</v>
      </c>
      <c r="P348" s="16" t="s">
        <v>137</v>
      </c>
      <c r="Q348" s="18">
        <v>0</v>
      </c>
      <c r="R348" s="19">
        <v>17.03</v>
      </c>
      <c r="S348" s="19">
        <v>12.9</v>
      </c>
      <c r="T348" s="19">
        <v>22.6</v>
      </c>
      <c r="U348" s="20">
        <v>348.53</v>
      </c>
      <c r="V348" s="16" t="s">
        <v>7</v>
      </c>
      <c r="W348" s="21">
        <v>0.75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1">
        <v>0</v>
      </c>
      <c r="AD348" s="21">
        <v>0.25</v>
      </c>
      <c r="AE348" s="21">
        <v>5.68</v>
      </c>
      <c r="AF348" s="21">
        <v>5.62</v>
      </c>
      <c r="AG348" s="21">
        <v>8.6999999999999993</v>
      </c>
      <c r="AH348" s="18" t="s">
        <v>38</v>
      </c>
      <c r="AI348" s="13" t="str">
        <f>VLOOKUP(AH348,'Hess and Brezowsky'!$B$2:$G$31,2,FALSE)</f>
        <v>Meridional</v>
      </c>
      <c r="AJ348" s="18" t="str">
        <f>VLOOKUP(AH348,'Hess and Brezowsky'!$B$2:$G$31,3,FALSE)</f>
        <v>C</v>
      </c>
      <c r="AK348" s="13" t="str">
        <f>VLOOKUP(AH348,'Hess and Brezowsky'!$B$2:$G$31,4,FALSE)</f>
        <v>High Scandinavia-Iceland, Trough Central Europe</v>
      </c>
      <c r="AL348" s="29">
        <v>0.1683449074074074</v>
      </c>
      <c r="AM348" s="29">
        <v>0.49212962962962964</v>
      </c>
      <c r="AN348" s="30">
        <v>0.81590277777777775</v>
      </c>
    </row>
    <row r="349" spans="1:40" ht="15.75" customHeight="1" x14ac:dyDescent="0.2">
      <c r="A349" s="27">
        <v>45069</v>
      </c>
      <c r="B349" s="13">
        <v>2023</v>
      </c>
      <c r="C349" s="13">
        <v>143</v>
      </c>
      <c r="D349" s="13">
        <f t="shared" si="14"/>
        <v>3</v>
      </c>
      <c r="E349" s="13"/>
      <c r="F349" s="13">
        <f t="shared" si="13"/>
        <v>3</v>
      </c>
      <c r="G349" s="14">
        <v>1</v>
      </c>
      <c r="H349" s="14">
        <v>0</v>
      </c>
      <c r="I349" s="14">
        <v>0.87</v>
      </c>
      <c r="J349" s="14">
        <v>0</v>
      </c>
      <c r="K349" s="14">
        <v>0</v>
      </c>
      <c r="L349" s="14">
        <v>1</v>
      </c>
      <c r="M349" s="15">
        <v>22.736999999999998</v>
      </c>
      <c r="N349" s="16" t="str">
        <f t="shared" si="15"/>
        <v>NE</v>
      </c>
      <c r="O349" s="17">
        <v>8.1999999999999993</v>
      </c>
      <c r="P349" s="16" t="s">
        <v>137</v>
      </c>
      <c r="Q349" s="18">
        <v>0</v>
      </c>
      <c r="R349" s="19">
        <v>14.93</v>
      </c>
      <c r="S349" s="19">
        <v>10.7</v>
      </c>
      <c r="T349" s="19">
        <v>20.9</v>
      </c>
      <c r="U349" s="20">
        <v>18.079999999999998</v>
      </c>
      <c r="V349" s="16" t="s">
        <v>7</v>
      </c>
      <c r="W349" s="21">
        <v>0.71</v>
      </c>
      <c r="X349" s="21">
        <v>0.28999999999999998</v>
      </c>
      <c r="Y349" s="21">
        <v>0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8.1999999999999993</v>
      </c>
      <c r="AF349" s="21">
        <v>8.1300000000000008</v>
      </c>
      <c r="AG349" s="21">
        <v>11</v>
      </c>
      <c r="AH349" s="18" t="s">
        <v>14</v>
      </c>
      <c r="AI349" s="13" t="str">
        <f>VLOOKUP(AH349,'Hess and Brezowsky'!$B$2:$G$31,2,FALSE)</f>
        <v>Meridional</v>
      </c>
      <c r="AJ349" s="18" t="str">
        <f>VLOOKUP(AH349,'Hess and Brezowsky'!$B$2:$G$31,3,FALSE)</f>
        <v>A</v>
      </c>
      <c r="AK349" s="13" t="str">
        <f>VLOOKUP(AH349,'Hess and Brezowsky'!$B$2:$G$31,4,FALSE)</f>
        <v>High over the British Isles</v>
      </c>
      <c r="AL349" s="29">
        <v>0.16760416666666667</v>
      </c>
      <c r="AM349" s="29">
        <v>0.4921875</v>
      </c>
      <c r="AN349" s="30">
        <v>0.81677083333333333</v>
      </c>
    </row>
    <row r="350" spans="1:40" ht="15.75" customHeight="1" x14ac:dyDescent="0.2">
      <c r="A350" s="27">
        <v>45070</v>
      </c>
      <c r="B350" s="13">
        <v>2023</v>
      </c>
      <c r="C350" s="13">
        <v>144</v>
      </c>
      <c r="D350" s="13">
        <f t="shared" si="14"/>
        <v>4</v>
      </c>
      <c r="E350" s="13"/>
      <c r="F350" s="13">
        <f t="shared" si="13"/>
        <v>3</v>
      </c>
      <c r="G350" s="14">
        <v>1</v>
      </c>
      <c r="H350" s="14">
        <v>0</v>
      </c>
      <c r="I350" s="14">
        <v>1</v>
      </c>
      <c r="J350" s="14">
        <v>0</v>
      </c>
      <c r="K350" s="14">
        <v>0</v>
      </c>
      <c r="L350" s="14">
        <v>1</v>
      </c>
      <c r="M350" s="15">
        <v>34.344999999999999</v>
      </c>
      <c r="N350" s="16" t="str">
        <f t="shared" si="15"/>
        <v>NE</v>
      </c>
      <c r="O350" s="17">
        <v>8.1999999999999993</v>
      </c>
      <c r="P350" s="16" t="s">
        <v>138</v>
      </c>
      <c r="Q350" s="18">
        <v>0</v>
      </c>
      <c r="R350" s="19">
        <v>14.86</v>
      </c>
      <c r="S350" s="19">
        <v>8.6</v>
      </c>
      <c r="T350" s="19">
        <v>20.9</v>
      </c>
      <c r="U350" s="20">
        <v>29.8</v>
      </c>
      <c r="V350" s="16" t="s">
        <v>10</v>
      </c>
      <c r="W350" s="21">
        <v>0.28999999999999998</v>
      </c>
      <c r="X350" s="21">
        <v>0.71</v>
      </c>
      <c r="Y350" s="21">
        <v>0</v>
      </c>
      <c r="Z350" s="21">
        <v>0</v>
      </c>
      <c r="AA350" s="21">
        <v>0</v>
      </c>
      <c r="AB350" s="21">
        <v>0</v>
      </c>
      <c r="AC350" s="21">
        <v>0</v>
      </c>
      <c r="AD350" s="21">
        <v>0</v>
      </c>
      <c r="AE350" s="21">
        <v>8.06</v>
      </c>
      <c r="AF350" s="21">
        <v>7.91</v>
      </c>
      <c r="AG350" s="21">
        <v>12.3</v>
      </c>
      <c r="AH350" s="18" t="s">
        <v>14</v>
      </c>
      <c r="AI350" s="13" t="str">
        <f>VLOOKUP(AH350,'Hess and Brezowsky'!$B$2:$G$31,2,FALSE)</f>
        <v>Meridional</v>
      </c>
      <c r="AJ350" s="18" t="str">
        <f>VLOOKUP(AH350,'Hess and Brezowsky'!$B$2:$G$31,3,FALSE)</f>
        <v>A</v>
      </c>
      <c r="AK350" s="13" t="str">
        <f>VLOOKUP(AH350,'Hess and Brezowsky'!$B$2:$G$31,4,FALSE)</f>
        <v>High over the British Isles</v>
      </c>
      <c r="AL350" s="29">
        <v>0.16688657407407406</v>
      </c>
      <c r="AM350" s="29">
        <v>0.49224537037037036</v>
      </c>
      <c r="AN350" s="30">
        <v>0.81760416666666669</v>
      </c>
    </row>
    <row r="351" spans="1:40" ht="15.75" customHeight="1" x14ac:dyDescent="0.2">
      <c r="A351" s="27">
        <v>45071</v>
      </c>
      <c r="B351" s="13">
        <v>2023</v>
      </c>
      <c r="C351" s="13">
        <v>145</v>
      </c>
      <c r="D351" s="13">
        <f t="shared" si="14"/>
        <v>5</v>
      </c>
      <c r="E351" s="13"/>
      <c r="F351" s="13">
        <f t="shared" si="13"/>
        <v>3</v>
      </c>
      <c r="G351" s="14">
        <v>1</v>
      </c>
      <c r="H351" s="14">
        <v>0</v>
      </c>
      <c r="I351" s="14">
        <v>1</v>
      </c>
      <c r="J351" s="14">
        <v>0</v>
      </c>
      <c r="K351" s="14">
        <v>0</v>
      </c>
      <c r="L351" s="14">
        <v>1</v>
      </c>
      <c r="M351" s="15">
        <v>41.506999999999998</v>
      </c>
      <c r="N351" s="16" t="str">
        <f t="shared" si="15"/>
        <v>NE</v>
      </c>
      <c r="O351" s="17">
        <v>9.3000000000000007</v>
      </c>
      <c r="P351" s="16" t="s">
        <v>139</v>
      </c>
      <c r="Q351" s="18">
        <v>0</v>
      </c>
      <c r="R351" s="19">
        <v>17.059999999999999</v>
      </c>
      <c r="S351" s="19">
        <v>10.6</v>
      </c>
      <c r="T351" s="19">
        <v>22.7</v>
      </c>
      <c r="U351" s="20">
        <v>38.82</v>
      </c>
      <c r="V351" s="16" t="s">
        <v>10</v>
      </c>
      <c r="W351" s="21">
        <v>0</v>
      </c>
      <c r="X351" s="21">
        <v>1</v>
      </c>
      <c r="Y351" s="21">
        <v>0</v>
      </c>
      <c r="Z351" s="21">
        <v>0</v>
      </c>
      <c r="AA351" s="21">
        <v>0</v>
      </c>
      <c r="AB351" s="21">
        <v>0</v>
      </c>
      <c r="AC351" s="21">
        <v>0</v>
      </c>
      <c r="AD351" s="21">
        <v>0</v>
      </c>
      <c r="AE351" s="21">
        <v>9.18</v>
      </c>
      <c r="AF351" s="21">
        <v>9.11</v>
      </c>
      <c r="AG351" s="21">
        <v>12.7</v>
      </c>
      <c r="AH351" s="18" t="s">
        <v>14</v>
      </c>
      <c r="AI351" s="13" t="str">
        <f>VLOOKUP(AH351,'Hess and Brezowsky'!$B$2:$G$31,2,FALSE)</f>
        <v>Meridional</v>
      </c>
      <c r="AJ351" s="18" t="str">
        <f>VLOOKUP(AH351,'Hess and Brezowsky'!$B$2:$G$31,3,FALSE)</f>
        <v>A</v>
      </c>
      <c r="AK351" s="13" t="str">
        <f>VLOOKUP(AH351,'Hess and Brezowsky'!$B$2:$G$31,4,FALSE)</f>
        <v>High over the British Isles</v>
      </c>
      <c r="AL351" s="29">
        <v>0.16619212962962962</v>
      </c>
      <c r="AM351" s="29">
        <v>0.49231481481481482</v>
      </c>
      <c r="AN351" s="30">
        <v>0.81843750000000004</v>
      </c>
    </row>
    <row r="352" spans="1:40" ht="15.75" customHeight="1" x14ac:dyDescent="0.2">
      <c r="A352" s="27">
        <v>45072</v>
      </c>
      <c r="B352" s="13">
        <v>2023</v>
      </c>
      <c r="C352" s="13">
        <v>146</v>
      </c>
      <c r="D352" s="13">
        <f t="shared" si="14"/>
        <v>6</v>
      </c>
      <c r="E352" s="13"/>
      <c r="F352" s="13">
        <f t="shared" si="13"/>
        <v>3</v>
      </c>
      <c r="G352" s="14">
        <v>1</v>
      </c>
      <c r="H352" s="14">
        <v>0</v>
      </c>
      <c r="I352" s="14">
        <v>1</v>
      </c>
      <c r="J352" s="14">
        <v>0</v>
      </c>
      <c r="K352" s="14">
        <v>0</v>
      </c>
      <c r="L352" s="14">
        <v>1</v>
      </c>
      <c r="M352" s="15">
        <v>37.597000000000001</v>
      </c>
      <c r="N352" s="16" t="str">
        <f t="shared" si="15"/>
        <v>NE</v>
      </c>
      <c r="O352" s="17">
        <v>7.9</v>
      </c>
      <c r="P352" s="16" t="s">
        <v>138</v>
      </c>
      <c r="Q352" s="18">
        <v>0</v>
      </c>
      <c r="R352" s="19">
        <v>17.559999999999999</v>
      </c>
      <c r="S352" s="19">
        <v>11</v>
      </c>
      <c r="T352" s="19">
        <v>23.6</v>
      </c>
      <c r="U352" s="20">
        <v>34.35</v>
      </c>
      <c r="V352" s="16" t="s">
        <v>10</v>
      </c>
      <c r="W352" s="21">
        <v>0</v>
      </c>
      <c r="X352" s="21">
        <v>1</v>
      </c>
      <c r="Y352" s="21">
        <v>0</v>
      </c>
      <c r="Z352" s="21">
        <v>0</v>
      </c>
      <c r="AA352" s="21">
        <v>0</v>
      </c>
      <c r="AB352" s="21">
        <v>0</v>
      </c>
      <c r="AC352" s="21">
        <v>0</v>
      </c>
      <c r="AD352" s="21">
        <v>0</v>
      </c>
      <c r="AE352" s="21">
        <v>7.49</v>
      </c>
      <c r="AF352" s="21">
        <v>7.44</v>
      </c>
      <c r="AG352" s="21">
        <v>11</v>
      </c>
      <c r="AH352" s="18" t="s">
        <v>14</v>
      </c>
      <c r="AI352" s="13" t="str">
        <f>VLOOKUP(AH352,'Hess and Brezowsky'!$B$2:$G$31,2,FALSE)</f>
        <v>Meridional</v>
      </c>
      <c r="AJ352" s="18" t="str">
        <f>VLOOKUP(AH352,'Hess and Brezowsky'!$B$2:$G$31,3,FALSE)</f>
        <v>A</v>
      </c>
      <c r="AK352" s="13" t="str">
        <f>VLOOKUP(AH352,'Hess and Brezowsky'!$B$2:$G$31,4,FALSE)</f>
        <v>High over the British Isles</v>
      </c>
      <c r="AL352" s="29">
        <v>0.16552083333333334</v>
      </c>
      <c r="AM352" s="29">
        <v>0.49238425925925927</v>
      </c>
      <c r="AN352" s="30">
        <v>0.8192476851851852</v>
      </c>
    </row>
    <row r="353" spans="1:40" ht="15.75" customHeight="1" x14ac:dyDescent="0.2">
      <c r="A353" s="27">
        <v>45073</v>
      </c>
      <c r="B353" s="13">
        <v>2023</v>
      </c>
      <c r="C353" s="13">
        <v>147</v>
      </c>
      <c r="D353" s="13">
        <f t="shared" si="14"/>
        <v>7</v>
      </c>
      <c r="E353" s="13"/>
      <c r="F353" s="13">
        <f t="shared" si="13"/>
        <v>3</v>
      </c>
      <c r="G353" s="14">
        <v>1</v>
      </c>
      <c r="H353" s="14">
        <v>0</v>
      </c>
      <c r="I353" s="14">
        <v>1</v>
      </c>
      <c r="J353" s="14">
        <v>0</v>
      </c>
      <c r="K353" s="14">
        <v>0</v>
      </c>
      <c r="L353" s="14">
        <v>1</v>
      </c>
      <c r="M353" s="15">
        <v>44.593000000000004</v>
      </c>
      <c r="N353" s="16" t="str">
        <f t="shared" si="15"/>
        <v>NE</v>
      </c>
      <c r="O353" s="17">
        <v>7.4</v>
      </c>
      <c r="P353" s="16" t="s">
        <v>138</v>
      </c>
      <c r="Q353" s="18">
        <v>0</v>
      </c>
      <c r="R353" s="19">
        <v>19.079999999999998</v>
      </c>
      <c r="S353" s="19">
        <v>12.1</v>
      </c>
      <c r="T353" s="19">
        <v>25.5</v>
      </c>
      <c r="U353" s="20">
        <v>43.56</v>
      </c>
      <c r="V353" s="16" t="s">
        <v>10</v>
      </c>
      <c r="W353" s="21">
        <v>0.08</v>
      </c>
      <c r="X353" s="21">
        <v>0.92</v>
      </c>
      <c r="Y353" s="21">
        <v>0</v>
      </c>
      <c r="Z353" s="21">
        <v>0</v>
      </c>
      <c r="AA353" s="21">
        <v>0</v>
      </c>
      <c r="AB353" s="21">
        <v>0</v>
      </c>
      <c r="AC353" s="21">
        <v>0</v>
      </c>
      <c r="AD353" s="21">
        <v>0</v>
      </c>
      <c r="AE353" s="21">
        <v>7.19</v>
      </c>
      <c r="AF353" s="21">
        <v>7.08</v>
      </c>
      <c r="AG353" s="21">
        <v>14.1</v>
      </c>
      <c r="AH353" s="18" t="s">
        <v>22</v>
      </c>
      <c r="AI353" s="13" t="str">
        <f>VLOOKUP(AH353,'Hess and Brezowsky'!$B$2:$G$31,2,FALSE)</f>
        <v>Meridional</v>
      </c>
      <c r="AJ353" s="18" t="str">
        <f>VLOOKUP(AH353,'Hess and Brezowsky'!$B$2:$G$31,3,FALSE)</f>
        <v>A</v>
      </c>
      <c r="AK353" s="13" t="str">
        <f>VLOOKUP(AH353,'Hess and Brezowsky'!$B$2:$G$31,4,FALSE)</f>
        <v>Anticyclonic North-Easterly</v>
      </c>
      <c r="AL353" s="29">
        <v>0.16488425925925926</v>
      </c>
      <c r="AM353" s="29">
        <v>0.49246527777777777</v>
      </c>
      <c r="AN353" s="30">
        <v>0.82004629629629633</v>
      </c>
    </row>
    <row r="354" spans="1:40" ht="15.75" customHeight="1" x14ac:dyDescent="0.2">
      <c r="A354" s="27">
        <v>45074</v>
      </c>
      <c r="B354" s="13">
        <v>2023</v>
      </c>
      <c r="C354" s="13">
        <v>148</v>
      </c>
      <c r="D354" s="13">
        <f t="shared" si="14"/>
        <v>1</v>
      </c>
      <c r="E354" s="13"/>
      <c r="F354" s="13">
        <f t="shared" si="13"/>
        <v>3</v>
      </c>
      <c r="G354" s="14">
        <v>1</v>
      </c>
      <c r="H354" s="14">
        <v>0</v>
      </c>
      <c r="I354" s="14">
        <v>1</v>
      </c>
      <c r="J354" s="14">
        <v>0</v>
      </c>
      <c r="K354" s="14">
        <v>0</v>
      </c>
      <c r="L354" s="14">
        <v>1</v>
      </c>
      <c r="M354" s="15">
        <v>39.005000000000003</v>
      </c>
      <c r="N354" s="16" t="str">
        <f t="shared" si="15"/>
        <v>NE</v>
      </c>
      <c r="O354" s="17">
        <v>8.1999999999999993</v>
      </c>
      <c r="P354" s="16" t="s">
        <v>139</v>
      </c>
      <c r="Q354" s="18">
        <v>0</v>
      </c>
      <c r="R354" s="19">
        <v>20.82</v>
      </c>
      <c r="S354" s="19">
        <v>13.9</v>
      </c>
      <c r="T354" s="19">
        <v>27.4</v>
      </c>
      <c r="U354" s="20">
        <v>35.58</v>
      </c>
      <c r="V354" s="16" t="s">
        <v>10</v>
      </c>
      <c r="W354" s="21">
        <v>0</v>
      </c>
      <c r="X354" s="21">
        <v>1</v>
      </c>
      <c r="Y354" s="21">
        <v>0</v>
      </c>
      <c r="Z354" s="21">
        <v>0</v>
      </c>
      <c r="AA354" s="21">
        <v>0</v>
      </c>
      <c r="AB354" s="21">
        <v>0</v>
      </c>
      <c r="AC354" s="21">
        <v>0</v>
      </c>
      <c r="AD354" s="21">
        <v>0</v>
      </c>
      <c r="AE354" s="21">
        <v>8.2200000000000006</v>
      </c>
      <c r="AF354" s="21">
        <v>8.15</v>
      </c>
      <c r="AG354" s="21">
        <v>14.1</v>
      </c>
      <c r="AH354" s="18" t="s">
        <v>22</v>
      </c>
      <c r="AI354" s="13" t="str">
        <f>VLOOKUP(AH354,'Hess and Brezowsky'!$B$2:$G$31,2,FALSE)</f>
        <v>Meridional</v>
      </c>
      <c r="AJ354" s="18" t="str">
        <f>VLOOKUP(AH354,'Hess and Brezowsky'!$B$2:$G$31,3,FALSE)</f>
        <v>A</v>
      </c>
      <c r="AK354" s="13" t="str">
        <f>VLOOKUP(AH354,'Hess and Brezowsky'!$B$2:$G$31,4,FALSE)</f>
        <v>Anticyclonic North-Easterly</v>
      </c>
      <c r="AL354" s="29">
        <v>0.16427083333333334</v>
      </c>
      <c r="AM354" s="29">
        <v>0.49254629629629632</v>
      </c>
      <c r="AN354" s="30">
        <v>0.82082175925925926</v>
      </c>
    </row>
    <row r="355" spans="1:40" ht="15.75" customHeight="1" x14ac:dyDescent="0.2">
      <c r="A355" s="27">
        <v>45075</v>
      </c>
      <c r="B355" s="13">
        <v>2023</v>
      </c>
      <c r="C355" s="13">
        <v>149</v>
      </c>
      <c r="D355" s="13">
        <f t="shared" si="14"/>
        <v>2</v>
      </c>
      <c r="E355" s="13"/>
      <c r="F355" s="13">
        <f t="shared" si="13"/>
        <v>3</v>
      </c>
      <c r="G355" s="14">
        <v>1</v>
      </c>
      <c r="H355" s="14">
        <v>0</v>
      </c>
      <c r="I355" s="14">
        <v>1</v>
      </c>
      <c r="J355" s="14">
        <v>0</v>
      </c>
      <c r="K355" s="14">
        <v>0</v>
      </c>
      <c r="L355" s="14">
        <v>1</v>
      </c>
      <c r="M355" s="15">
        <v>26.75</v>
      </c>
      <c r="N355" s="16" t="str">
        <f t="shared" si="15"/>
        <v>NE</v>
      </c>
      <c r="O355" s="17">
        <v>9.8000000000000007</v>
      </c>
      <c r="P355" s="16" t="s">
        <v>139</v>
      </c>
      <c r="Q355" s="18">
        <v>0</v>
      </c>
      <c r="R355" s="19">
        <v>19.010000000000002</v>
      </c>
      <c r="S355" s="19">
        <v>13.7</v>
      </c>
      <c r="T355" s="19">
        <v>25.4</v>
      </c>
      <c r="U355" s="20">
        <v>23.93</v>
      </c>
      <c r="V355" s="16" t="s">
        <v>10</v>
      </c>
      <c r="W355" s="21">
        <v>0.46</v>
      </c>
      <c r="X355" s="21">
        <v>0.54</v>
      </c>
      <c r="Y355" s="21">
        <v>0</v>
      </c>
      <c r="Z355" s="21">
        <v>0</v>
      </c>
      <c r="AA355" s="21">
        <v>0</v>
      </c>
      <c r="AB355" s="21">
        <v>0</v>
      </c>
      <c r="AC355" s="21">
        <v>0</v>
      </c>
      <c r="AD355" s="21">
        <v>0</v>
      </c>
      <c r="AE355" s="21">
        <v>9.0299999999999994</v>
      </c>
      <c r="AF355" s="21">
        <v>9</v>
      </c>
      <c r="AG355" s="21">
        <v>13</v>
      </c>
      <c r="AH355" s="18" t="s">
        <v>22</v>
      </c>
      <c r="AI355" s="13" t="str">
        <f>VLOOKUP(AH355,'Hess and Brezowsky'!$B$2:$G$31,2,FALSE)</f>
        <v>Meridional</v>
      </c>
      <c r="AJ355" s="18" t="str">
        <f>VLOOKUP(AH355,'Hess and Brezowsky'!$B$2:$G$31,3,FALSE)</f>
        <v>A</v>
      </c>
      <c r="AK355" s="13" t="str">
        <f>VLOOKUP(AH355,'Hess and Brezowsky'!$B$2:$G$31,4,FALSE)</f>
        <v>Anticyclonic North-Easterly</v>
      </c>
      <c r="AL355" s="29">
        <v>0.16368055555555555</v>
      </c>
      <c r="AM355" s="29">
        <v>0.4926388888888889</v>
      </c>
      <c r="AN355" s="30">
        <v>0.82158564814814816</v>
      </c>
    </row>
    <row r="356" spans="1:40" ht="15.75" customHeight="1" x14ac:dyDescent="0.2">
      <c r="A356" s="27">
        <v>45076</v>
      </c>
      <c r="B356" s="13">
        <v>2023</v>
      </c>
      <c r="C356" s="13">
        <v>150</v>
      </c>
      <c r="D356" s="13">
        <f t="shared" si="14"/>
        <v>3</v>
      </c>
      <c r="E356" s="13"/>
      <c r="F356" s="13">
        <f t="shared" si="13"/>
        <v>3</v>
      </c>
      <c r="G356" s="14">
        <v>0.95</v>
      </c>
      <c r="H356" s="14">
        <v>0</v>
      </c>
      <c r="I356" s="14">
        <v>1</v>
      </c>
      <c r="J356" s="14">
        <v>0</v>
      </c>
      <c r="K356" s="14">
        <v>0</v>
      </c>
      <c r="L356" s="14">
        <v>1</v>
      </c>
      <c r="M356" s="15">
        <v>30.667000000000002</v>
      </c>
      <c r="N356" s="16" t="str">
        <f t="shared" si="15"/>
        <v>NE</v>
      </c>
      <c r="O356" s="17">
        <v>9.5</v>
      </c>
      <c r="P356" s="16" t="s">
        <v>138</v>
      </c>
      <c r="Q356" s="18">
        <v>0</v>
      </c>
      <c r="R356" s="19">
        <v>17.77</v>
      </c>
      <c r="S356" s="19">
        <v>12</v>
      </c>
      <c r="T356" s="19">
        <v>23.8</v>
      </c>
      <c r="U356" s="20">
        <v>27.32</v>
      </c>
      <c r="V356" s="16" t="s">
        <v>10</v>
      </c>
      <c r="W356" s="21">
        <v>0.12</v>
      </c>
      <c r="X356" s="21">
        <v>0.88</v>
      </c>
      <c r="Y356" s="21">
        <v>0</v>
      </c>
      <c r="Z356" s="21">
        <v>0</v>
      </c>
      <c r="AA356" s="21">
        <v>0</v>
      </c>
      <c r="AB356" s="21">
        <v>0</v>
      </c>
      <c r="AC356" s="21">
        <v>0</v>
      </c>
      <c r="AD356" s="21">
        <v>0</v>
      </c>
      <c r="AE356" s="21">
        <v>8.6999999999999993</v>
      </c>
      <c r="AF356" s="21">
        <v>8.69</v>
      </c>
      <c r="AG356" s="21">
        <v>13.6</v>
      </c>
      <c r="AH356" s="18" t="s">
        <v>22</v>
      </c>
      <c r="AI356" s="13" t="str">
        <f>VLOOKUP(AH356,'Hess and Brezowsky'!$B$2:$G$31,2,FALSE)</f>
        <v>Meridional</v>
      </c>
      <c r="AJ356" s="18" t="str">
        <f>VLOOKUP(AH356,'Hess and Brezowsky'!$B$2:$G$31,3,FALSE)</f>
        <v>A</v>
      </c>
      <c r="AK356" s="13" t="str">
        <f>VLOOKUP(AH356,'Hess and Brezowsky'!$B$2:$G$31,4,FALSE)</f>
        <v>Anticyclonic North-Easterly</v>
      </c>
      <c r="AL356" s="29">
        <v>0.16312499999999999</v>
      </c>
      <c r="AM356" s="29">
        <v>0.49273148148148149</v>
      </c>
      <c r="AN356" s="30">
        <v>0.82232638888888887</v>
      </c>
    </row>
    <row r="357" spans="1:40" ht="15.75" customHeight="1" x14ac:dyDescent="0.2">
      <c r="A357" s="27">
        <v>45077</v>
      </c>
      <c r="B357" s="13">
        <v>2023</v>
      </c>
      <c r="C357" s="13">
        <v>151</v>
      </c>
      <c r="D357" s="13">
        <f t="shared" si="14"/>
        <v>4</v>
      </c>
      <c r="E357" s="13"/>
      <c r="F357" s="13">
        <f t="shared" si="13"/>
        <v>2</v>
      </c>
      <c r="G357" s="14">
        <v>0</v>
      </c>
      <c r="H357" s="14">
        <v>0</v>
      </c>
      <c r="I357" s="14">
        <v>1</v>
      </c>
      <c r="J357" s="14">
        <v>0</v>
      </c>
      <c r="K357" s="14">
        <v>0</v>
      </c>
      <c r="L357" s="14">
        <v>1</v>
      </c>
      <c r="M357" s="15">
        <v>39.576000000000001</v>
      </c>
      <c r="N357" s="16" t="str">
        <f t="shared" si="15"/>
        <v>NE</v>
      </c>
      <c r="O357" s="17">
        <v>8.6</v>
      </c>
      <c r="P357" s="16" t="s">
        <v>138</v>
      </c>
      <c r="Q357" s="18">
        <v>0</v>
      </c>
      <c r="R357" s="19">
        <v>20.23</v>
      </c>
      <c r="S357" s="19">
        <v>12.2</v>
      </c>
      <c r="T357" s="19">
        <v>27.2</v>
      </c>
      <c r="U357" s="20">
        <v>38.6</v>
      </c>
      <c r="V357" s="16" t="s">
        <v>10</v>
      </c>
      <c r="W357" s="21">
        <v>0</v>
      </c>
      <c r="X357" s="21">
        <v>1</v>
      </c>
      <c r="Y357" s="21">
        <v>0</v>
      </c>
      <c r="Z357" s="21">
        <v>0</v>
      </c>
      <c r="AA357" s="21">
        <v>0</v>
      </c>
      <c r="AB357" s="21">
        <v>0</v>
      </c>
      <c r="AC357" s="21">
        <v>0</v>
      </c>
      <c r="AD357" s="21">
        <v>0</v>
      </c>
      <c r="AE357" s="21">
        <v>9.3800000000000008</v>
      </c>
      <c r="AF357" s="21">
        <v>9.3000000000000007</v>
      </c>
      <c r="AG357" s="21">
        <v>16.899999999999999</v>
      </c>
      <c r="AH357" s="18" t="s">
        <v>34</v>
      </c>
      <c r="AI357" s="13" t="str">
        <f>VLOOKUP(AH357,'Hess and Brezowsky'!$B$2:$G$31,2,FALSE)</f>
        <v>Meridional</v>
      </c>
      <c r="AJ357" s="18" t="str">
        <f>VLOOKUP(AH357,'Hess and Brezowsky'!$B$2:$G$31,3,FALSE)</f>
        <v>A</v>
      </c>
      <c r="AK357" s="13" t="str">
        <f>VLOOKUP(AH357,'Hess and Brezowsky'!$B$2:$G$31,4,FALSE)</f>
        <v>Icelandic High, Ride Central Europe</v>
      </c>
      <c r="AL357" s="29">
        <v>0.16260416666666666</v>
      </c>
      <c r="AM357" s="29">
        <v>0.49282407407407408</v>
      </c>
      <c r="AN357" s="30">
        <v>0.82305555555555554</v>
      </c>
    </row>
    <row r="358" spans="1:40" ht="15.75" customHeight="1" x14ac:dyDescent="0.2">
      <c r="A358" s="27">
        <v>45078</v>
      </c>
      <c r="B358" s="13">
        <v>2023</v>
      </c>
      <c r="C358" s="13">
        <v>152</v>
      </c>
      <c r="D358" s="13">
        <f t="shared" si="14"/>
        <v>5</v>
      </c>
      <c r="E358" s="13"/>
      <c r="F358" s="13">
        <f t="shared" si="13"/>
        <v>2</v>
      </c>
      <c r="G358" s="14">
        <v>0</v>
      </c>
      <c r="H358" s="14">
        <v>0</v>
      </c>
      <c r="I358" s="14">
        <v>1</v>
      </c>
      <c r="J358" s="14">
        <v>0</v>
      </c>
      <c r="K358" s="14">
        <v>0</v>
      </c>
      <c r="L358" s="14">
        <v>1</v>
      </c>
      <c r="M358" s="15">
        <v>29.606000000000002</v>
      </c>
      <c r="N358" s="16" t="str">
        <f t="shared" si="15"/>
        <v>NE</v>
      </c>
      <c r="O358" s="17">
        <v>7.6</v>
      </c>
      <c r="P358" s="16" t="s">
        <v>138</v>
      </c>
      <c r="Q358" s="18">
        <v>0</v>
      </c>
      <c r="R358" s="19">
        <v>20.55</v>
      </c>
      <c r="S358" s="19">
        <v>13.7</v>
      </c>
      <c r="T358" s="19">
        <v>27.9</v>
      </c>
      <c r="U358" s="20">
        <v>28.46</v>
      </c>
      <c r="V358" s="16" t="s">
        <v>10</v>
      </c>
      <c r="W358" s="21">
        <v>0.21</v>
      </c>
      <c r="X358" s="21">
        <v>0.79</v>
      </c>
      <c r="Y358" s="21">
        <v>0</v>
      </c>
      <c r="Z358" s="21">
        <v>0</v>
      </c>
      <c r="AA358" s="21">
        <v>0</v>
      </c>
      <c r="AB358" s="21">
        <v>0</v>
      </c>
      <c r="AC358" s="21">
        <v>0</v>
      </c>
      <c r="AD358" s="21">
        <v>0</v>
      </c>
      <c r="AE358" s="21">
        <v>7.9</v>
      </c>
      <c r="AF358" s="21">
        <v>7.81</v>
      </c>
      <c r="AG358" s="21">
        <v>12.9</v>
      </c>
      <c r="AH358" s="18" t="s">
        <v>34</v>
      </c>
      <c r="AI358" s="13" t="str">
        <f>VLOOKUP(AH358,'Hess and Brezowsky'!$B$2:$G$31,2,FALSE)</f>
        <v>Meridional</v>
      </c>
      <c r="AJ358" s="18" t="str">
        <f>VLOOKUP(AH358,'Hess and Brezowsky'!$B$2:$G$31,3,FALSE)</f>
        <v>A</v>
      </c>
      <c r="AK358" s="13" t="str">
        <f>VLOOKUP(AH358,'Hess and Brezowsky'!$B$2:$G$31,4,FALSE)</f>
        <v>Icelandic High, Ride Central Europe</v>
      </c>
      <c r="AL358" s="29">
        <v>0.1620949074074074</v>
      </c>
      <c r="AM358" s="29">
        <v>0.49292824074074076</v>
      </c>
      <c r="AN358" s="30">
        <v>0.82374999999999998</v>
      </c>
    </row>
    <row r="359" spans="1:40" ht="15.75" customHeight="1" x14ac:dyDescent="0.2">
      <c r="A359" s="27">
        <v>45079</v>
      </c>
      <c r="B359" s="13">
        <v>2023</v>
      </c>
      <c r="C359" s="13">
        <v>153</v>
      </c>
      <c r="D359" s="13">
        <f t="shared" si="14"/>
        <v>6</v>
      </c>
      <c r="E359" s="13"/>
      <c r="F359" s="13">
        <f t="shared" si="13"/>
        <v>2</v>
      </c>
      <c r="G359" s="14">
        <v>0</v>
      </c>
      <c r="H359" s="14">
        <v>0</v>
      </c>
      <c r="I359" s="14">
        <v>1</v>
      </c>
      <c r="J359" s="14">
        <v>0</v>
      </c>
      <c r="K359" s="14">
        <v>0</v>
      </c>
      <c r="L359" s="14">
        <v>1</v>
      </c>
      <c r="M359" s="15">
        <v>24.091999999999999</v>
      </c>
      <c r="N359" s="16" t="str">
        <f t="shared" si="15"/>
        <v>NE</v>
      </c>
      <c r="O359" s="17">
        <v>7.7</v>
      </c>
      <c r="P359" s="16" t="s">
        <v>138</v>
      </c>
      <c r="Q359" s="18">
        <v>0</v>
      </c>
      <c r="R359" s="19">
        <v>16.04</v>
      </c>
      <c r="S359" s="19">
        <v>10.8</v>
      </c>
      <c r="T359" s="19">
        <v>22</v>
      </c>
      <c r="U359" s="20">
        <v>20.8</v>
      </c>
      <c r="V359" s="16" t="s">
        <v>7</v>
      </c>
      <c r="W359" s="21">
        <v>0.75</v>
      </c>
      <c r="X359" s="21">
        <v>0.25</v>
      </c>
      <c r="Y359" s="21">
        <v>0</v>
      </c>
      <c r="Z359" s="21">
        <v>0</v>
      </c>
      <c r="AA359" s="21">
        <v>0</v>
      </c>
      <c r="AB359" s="21">
        <v>0</v>
      </c>
      <c r="AC359" s="21">
        <v>0</v>
      </c>
      <c r="AD359" s="21">
        <v>0</v>
      </c>
      <c r="AE359" s="21">
        <v>7.88</v>
      </c>
      <c r="AF359" s="21">
        <v>7.81</v>
      </c>
      <c r="AG359" s="21">
        <v>11.6</v>
      </c>
      <c r="AH359" s="18" t="s">
        <v>34</v>
      </c>
      <c r="AI359" s="13" t="str">
        <f>VLOOKUP(AH359,'Hess and Brezowsky'!$B$2:$G$31,2,FALSE)</f>
        <v>Meridional</v>
      </c>
      <c r="AJ359" s="18" t="str">
        <f>VLOOKUP(AH359,'Hess and Brezowsky'!$B$2:$G$31,3,FALSE)</f>
        <v>A</v>
      </c>
      <c r="AK359" s="13" t="str">
        <f>VLOOKUP(AH359,'Hess and Brezowsky'!$B$2:$G$31,4,FALSE)</f>
        <v>Icelandic High, Ride Central Europe</v>
      </c>
      <c r="AL359" s="29">
        <v>0.16162037037037036</v>
      </c>
      <c r="AM359" s="29">
        <v>0.49303240740740739</v>
      </c>
      <c r="AN359" s="30">
        <v>0.82443287037037039</v>
      </c>
    </row>
    <row r="360" spans="1:40" ht="15.75" customHeight="1" x14ac:dyDescent="0.2">
      <c r="A360" s="27">
        <v>45080</v>
      </c>
      <c r="B360" s="13">
        <v>2023</v>
      </c>
      <c r="C360" s="13">
        <v>154</v>
      </c>
      <c r="D360" s="13">
        <f t="shared" si="14"/>
        <v>7</v>
      </c>
      <c r="E360" s="13"/>
      <c r="F360" s="13">
        <f t="shared" si="13"/>
        <v>2</v>
      </c>
      <c r="G360" s="14">
        <v>0</v>
      </c>
      <c r="H360" s="14">
        <v>0</v>
      </c>
      <c r="I360" s="14">
        <v>1</v>
      </c>
      <c r="J360" s="14">
        <v>0</v>
      </c>
      <c r="K360" s="14">
        <v>0</v>
      </c>
      <c r="L360" s="14">
        <v>1</v>
      </c>
      <c r="M360" s="15">
        <v>36.11</v>
      </c>
      <c r="N360" s="16" t="str">
        <f t="shared" si="15"/>
        <v>NE</v>
      </c>
      <c r="O360" s="17">
        <v>6.9</v>
      </c>
      <c r="P360" s="16" t="s">
        <v>139</v>
      </c>
      <c r="Q360" s="18">
        <v>0</v>
      </c>
      <c r="R360" s="19">
        <v>19.239999999999998</v>
      </c>
      <c r="S360" s="19">
        <v>11.8</v>
      </c>
      <c r="T360" s="19">
        <v>25.6</v>
      </c>
      <c r="U360" s="20">
        <v>37.229999999999997</v>
      </c>
      <c r="V360" s="16" t="s">
        <v>10</v>
      </c>
      <c r="W360" s="21">
        <v>0.08</v>
      </c>
      <c r="X360" s="21">
        <v>0.92</v>
      </c>
      <c r="Y360" s="21">
        <v>0</v>
      </c>
      <c r="Z360" s="21">
        <v>0</v>
      </c>
      <c r="AA360" s="21">
        <v>0</v>
      </c>
      <c r="AB360" s="21">
        <v>0</v>
      </c>
      <c r="AC360" s="21">
        <v>0</v>
      </c>
      <c r="AD360" s="21">
        <v>0</v>
      </c>
      <c r="AE360" s="21">
        <v>7.54</v>
      </c>
      <c r="AF360" s="21">
        <v>7.48</v>
      </c>
      <c r="AG360" s="21">
        <v>14.5</v>
      </c>
      <c r="AH360" s="18" t="s">
        <v>34</v>
      </c>
      <c r="AI360" s="13" t="str">
        <f>VLOOKUP(AH360,'Hess and Brezowsky'!$B$2:$G$31,2,FALSE)</f>
        <v>Meridional</v>
      </c>
      <c r="AJ360" s="18" t="str">
        <f>VLOOKUP(AH360,'Hess and Brezowsky'!$B$2:$G$31,3,FALSE)</f>
        <v>A</v>
      </c>
      <c r="AK360" s="13" t="str">
        <f>VLOOKUP(AH360,'Hess and Brezowsky'!$B$2:$G$31,4,FALSE)</f>
        <v>Icelandic High, Ride Central Europe</v>
      </c>
      <c r="AL360" s="29">
        <v>0.16118055555555555</v>
      </c>
      <c r="AM360" s="29">
        <v>0.49313657407407407</v>
      </c>
      <c r="AN360" s="30">
        <v>0.8250925925925926</v>
      </c>
    </row>
    <row r="361" spans="1:40" ht="15.75" customHeight="1" x14ac:dyDescent="0.2">
      <c r="A361" s="27">
        <v>45081</v>
      </c>
      <c r="B361" s="13">
        <v>2023</v>
      </c>
      <c r="C361" s="13">
        <v>155</v>
      </c>
      <c r="D361" s="13">
        <f t="shared" si="14"/>
        <v>1</v>
      </c>
      <c r="E361" s="13"/>
      <c r="F361" s="13">
        <f t="shared" si="13"/>
        <v>2</v>
      </c>
      <c r="G361" s="14">
        <v>0</v>
      </c>
      <c r="H361" s="14">
        <v>0</v>
      </c>
      <c r="I361" s="14">
        <v>1</v>
      </c>
      <c r="J361" s="14">
        <v>0</v>
      </c>
      <c r="K361" s="14">
        <v>0</v>
      </c>
      <c r="L361" s="14">
        <v>1</v>
      </c>
      <c r="M361" s="15">
        <v>40.200000000000003</v>
      </c>
      <c r="N361" s="16" t="str">
        <f t="shared" si="15"/>
        <v>NE</v>
      </c>
      <c r="O361" s="17">
        <v>7.5</v>
      </c>
      <c r="P361" s="16" t="s">
        <v>139</v>
      </c>
      <c r="Q361" s="18">
        <v>0</v>
      </c>
      <c r="R361" s="19">
        <v>20.92</v>
      </c>
      <c r="S361" s="19">
        <v>14.1</v>
      </c>
      <c r="T361" s="19">
        <v>27.1</v>
      </c>
      <c r="U361" s="20">
        <v>39.61</v>
      </c>
      <c r="V361" s="16" t="s">
        <v>10</v>
      </c>
      <c r="W361" s="21">
        <v>0.04</v>
      </c>
      <c r="X361" s="21">
        <v>0.96</v>
      </c>
      <c r="Y361" s="21">
        <v>0</v>
      </c>
      <c r="Z361" s="21">
        <v>0</v>
      </c>
      <c r="AA361" s="21">
        <v>0</v>
      </c>
      <c r="AB361" s="21">
        <v>0</v>
      </c>
      <c r="AC361" s="21">
        <v>0</v>
      </c>
      <c r="AD361" s="21">
        <v>0</v>
      </c>
      <c r="AE361" s="21">
        <v>8.31</v>
      </c>
      <c r="AF361" s="21">
        <v>8.15</v>
      </c>
      <c r="AG361" s="21">
        <v>13.8</v>
      </c>
      <c r="AH361" s="18" t="s">
        <v>34</v>
      </c>
      <c r="AI361" s="13" t="str">
        <f>VLOOKUP(AH361,'Hess and Brezowsky'!$B$2:$G$31,2,FALSE)</f>
        <v>Meridional</v>
      </c>
      <c r="AJ361" s="18" t="str">
        <f>VLOOKUP(AH361,'Hess and Brezowsky'!$B$2:$G$31,3,FALSE)</f>
        <v>A</v>
      </c>
      <c r="AK361" s="13" t="str">
        <f>VLOOKUP(AH361,'Hess and Brezowsky'!$B$2:$G$31,4,FALSE)</f>
        <v>Icelandic High, Ride Central Europe</v>
      </c>
      <c r="AL361" s="29">
        <v>0.1607638888888889</v>
      </c>
      <c r="AM361" s="29">
        <v>0.4932523148148148</v>
      </c>
      <c r="AN361" s="30">
        <v>0.82572916666666663</v>
      </c>
    </row>
    <row r="362" spans="1:40" ht="15.75" customHeight="1" x14ac:dyDescent="0.2">
      <c r="A362" s="27">
        <v>45082</v>
      </c>
      <c r="B362" s="13">
        <v>2023</v>
      </c>
      <c r="C362" s="13">
        <v>156</v>
      </c>
      <c r="D362" s="13">
        <f t="shared" si="14"/>
        <v>2</v>
      </c>
      <c r="E362" s="13"/>
      <c r="F362" s="13">
        <f t="shared" si="13"/>
        <v>2</v>
      </c>
      <c r="G362" s="14">
        <v>0</v>
      </c>
      <c r="H362" s="14">
        <v>0</v>
      </c>
      <c r="I362" s="14">
        <v>1</v>
      </c>
      <c r="J362" s="14">
        <v>0</v>
      </c>
      <c r="K362" s="14">
        <v>0</v>
      </c>
      <c r="L362" s="14">
        <v>1</v>
      </c>
      <c r="M362" s="15">
        <v>27.425000000000001</v>
      </c>
      <c r="N362" s="16" t="str">
        <f t="shared" si="15"/>
        <v>NE</v>
      </c>
      <c r="O362" s="17">
        <v>7</v>
      </c>
      <c r="P362" s="16" t="s">
        <v>138</v>
      </c>
      <c r="Q362" s="18">
        <v>0</v>
      </c>
      <c r="R362" s="19">
        <v>20.29</v>
      </c>
      <c r="S362" s="19">
        <v>13.6</v>
      </c>
      <c r="T362" s="19">
        <v>27</v>
      </c>
      <c r="U362" s="20">
        <v>24.31</v>
      </c>
      <c r="V362" s="16" t="s">
        <v>10</v>
      </c>
      <c r="W362" s="21">
        <v>0.54</v>
      </c>
      <c r="X362" s="21">
        <v>0.46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7.24</v>
      </c>
      <c r="AF362" s="21">
        <v>7.15</v>
      </c>
      <c r="AG362" s="21">
        <v>10.7</v>
      </c>
      <c r="AH362" s="18" t="s">
        <v>34</v>
      </c>
      <c r="AI362" s="13" t="str">
        <f>VLOOKUP(AH362,'Hess and Brezowsky'!$B$2:$G$31,2,FALSE)</f>
        <v>Meridional</v>
      </c>
      <c r="AJ362" s="18" t="str">
        <f>VLOOKUP(AH362,'Hess and Brezowsky'!$B$2:$G$31,3,FALSE)</f>
        <v>A</v>
      </c>
      <c r="AK362" s="13" t="str">
        <f>VLOOKUP(AH362,'Hess and Brezowsky'!$B$2:$G$31,4,FALSE)</f>
        <v>Icelandic High, Ride Central Europe</v>
      </c>
      <c r="AL362" s="29">
        <v>0.16038194444444445</v>
      </c>
      <c r="AM362" s="29">
        <v>0.49336805555555557</v>
      </c>
      <c r="AN362" s="30">
        <v>0.82634259259259257</v>
      </c>
    </row>
    <row r="363" spans="1:40" ht="15.75" customHeight="1" x14ac:dyDescent="0.2">
      <c r="A363" s="27">
        <v>45083</v>
      </c>
      <c r="B363" s="13">
        <v>2023</v>
      </c>
      <c r="C363" s="13">
        <v>157</v>
      </c>
      <c r="D363" s="13">
        <f t="shared" si="14"/>
        <v>3</v>
      </c>
      <c r="E363" s="13"/>
      <c r="F363" s="13">
        <f t="shared" si="13"/>
        <v>2</v>
      </c>
      <c r="G363" s="14">
        <v>0.16</v>
      </c>
      <c r="H363" s="14">
        <v>0</v>
      </c>
      <c r="I363" s="14">
        <v>1</v>
      </c>
      <c r="J363" s="14">
        <v>0</v>
      </c>
      <c r="K363" s="14">
        <v>0</v>
      </c>
      <c r="L363" s="14">
        <v>1</v>
      </c>
      <c r="M363" s="15">
        <v>33.981999999999999</v>
      </c>
      <c r="N363" s="16" t="str">
        <f t="shared" si="15"/>
        <v>NE</v>
      </c>
      <c r="O363" s="17">
        <v>7</v>
      </c>
      <c r="P363" s="16" t="s">
        <v>138</v>
      </c>
      <c r="Q363" s="18">
        <v>0</v>
      </c>
      <c r="R363" s="19">
        <v>20.14</v>
      </c>
      <c r="S363" s="19">
        <v>12.4</v>
      </c>
      <c r="T363" s="19">
        <v>28.1</v>
      </c>
      <c r="U363" s="20">
        <v>31.91</v>
      </c>
      <c r="V363" s="16" t="s">
        <v>10</v>
      </c>
      <c r="W363" s="21">
        <v>0.38</v>
      </c>
      <c r="X363" s="21">
        <v>0.62</v>
      </c>
      <c r="Y363" s="21">
        <v>0</v>
      </c>
      <c r="Z363" s="21">
        <v>0</v>
      </c>
      <c r="AA363" s="21">
        <v>0</v>
      </c>
      <c r="AB363" s="21">
        <v>0</v>
      </c>
      <c r="AC363" s="21">
        <v>0</v>
      </c>
      <c r="AD363" s="21">
        <v>0</v>
      </c>
      <c r="AE363" s="21">
        <v>7.03</v>
      </c>
      <c r="AF363" s="21">
        <v>6.81</v>
      </c>
      <c r="AG363" s="21">
        <v>11.9</v>
      </c>
      <c r="AH363" s="18" t="s">
        <v>39</v>
      </c>
      <c r="AI363" s="13" t="str">
        <f>VLOOKUP(AH363,'Hess and Brezowsky'!$B$2:$G$31,2,FALSE)</f>
        <v>Meridional</v>
      </c>
      <c r="AJ363" s="18" t="str">
        <f>VLOOKUP(AH363,'Hess and Brezowsky'!$B$2:$G$31,3,FALSE)</f>
        <v>C</v>
      </c>
      <c r="AK363" s="13" t="str">
        <f>VLOOKUP(AH363,'Hess and Brezowsky'!$B$2:$G$31,4,FALSE)</f>
        <v>Icelandic High, Trough Central Europe</v>
      </c>
      <c r="AL363" s="29">
        <v>0.16003472222222223</v>
      </c>
      <c r="AM363" s="29">
        <v>0.4934837962962963</v>
      </c>
      <c r="AN363" s="30">
        <v>0.82694444444444448</v>
      </c>
    </row>
    <row r="364" spans="1:40" ht="15.75" customHeight="1" x14ac:dyDescent="0.2">
      <c r="A364" s="27">
        <v>45084</v>
      </c>
      <c r="B364" s="13">
        <v>2023</v>
      </c>
      <c r="C364" s="13">
        <v>158</v>
      </c>
      <c r="D364" s="13">
        <f t="shared" si="14"/>
        <v>4</v>
      </c>
      <c r="E364" s="13"/>
      <c r="F364" s="13">
        <f t="shared" si="13"/>
        <v>3</v>
      </c>
      <c r="G364" s="14">
        <v>1</v>
      </c>
      <c r="H364" s="14">
        <v>0</v>
      </c>
      <c r="I364" s="14">
        <v>1</v>
      </c>
      <c r="J364" s="14">
        <v>0</v>
      </c>
      <c r="K364" s="14">
        <v>0</v>
      </c>
      <c r="L364" s="14">
        <v>1</v>
      </c>
      <c r="M364" s="15">
        <v>53.118000000000002</v>
      </c>
      <c r="N364" s="16" t="str">
        <f t="shared" si="15"/>
        <v>NE</v>
      </c>
      <c r="O364" s="17">
        <v>7.7</v>
      </c>
      <c r="P364" s="16" t="s">
        <v>138</v>
      </c>
      <c r="Q364" s="18">
        <v>0</v>
      </c>
      <c r="R364" s="19">
        <v>21.61</v>
      </c>
      <c r="S364" s="19">
        <v>14.3</v>
      </c>
      <c r="T364" s="19">
        <v>28.9</v>
      </c>
      <c r="U364" s="20">
        <v>54.17</v>
      </c>
      <c r="V364" s="16" t="s">
        <v>10</v>
      </c>
      <c r="W364" s="21">
        <v>0</v>
      </c>
      <c r="X364" s="21">
        <v>0.75</v>
      </c>
      <c r="Y364" s="21">
        <v>0.25</v>
      </c>
      <c r="Z364" s="21">
        <v>0</v>
      </c>
      <c r="AA364" s="21">
        <v>0</v>
      </c>
      <c r="AB364" s="21">
        <v>0</v>
      </c>
      <c r="AC364" s="21">
        <v>0</v>
      </c>
      <c r="AD364" s="21">
        <v>0</v>
      </c>
      <c r="AE364" s="21">
        <v>7.26</v>
      </c>
      <c r="AF364" s="21">
        <v>7.01</v>
      </c>
      <c r="AG364" s="21">
        <v>12.1</v>
      </c>
      <c r="AH364" s="18" t="s">
        <v>39</v>
      </c>
      <c r="AI364" s="13" t="str">
        <f>VLOOKUP(AH364,'Hess and Brezowsky'!$B$2:$G$31,2,FALSE)</f>
        <v>Meridional</v>
      </c>
      <c r="AJ364" s="18" t="str">
        <f>VLOOKUP(AH364,'Hess and Brezowsky'!$B$2:$G$31,3,FALSE)</f>
        <v>C</v>
      </c>
      <c r="AK364" s="13" t="str">
        <f>VLOOKUP(AH364,'Hess and Brezowsky'!$B$2:$G$31,4,FALSE)</f>
        <v>Icelandic High, Trough Central Europe</v>
      </c>
      <c r="AL364" s="29">
        <v>0.15971064814814814</v>
      </c>
      <c r="AM364" s="29">
        <v>0.49361111111111111</v>
      </c>
      <c r="AN364" s="30">
        <v>0.82751157407407405</v>
      </c>
    </row>
    <row r="365" spans="1:40" ht="15.75" customHeight="1" x14ac:dyDescent="0.2">
      <c r="A365" s="27">
        <v>45085</v>
      </c>
      <c r="B365" s="13">
        <v>2023</v>
      </c>
      <c r="C365" s="13">
        <v>159</v>
      </c>
      <c r="D365" s="13">
        <f t="shared" si="14"/>
        <v>5</v>
      </c>
      <c r="E365" s="13"/>
      <c r="F365" s="13">
        <f t="shared" si="13"/>
        <v>2</v>
      </c>
      <c r="G365" s="14">
        <v>0</v>
      </c>
      <c r="H365" s="14">
        <v>0</v>
      </c>
      <c r="I365" s="14">
        <v>1</v>
      </c>
      <c r="J365" s="14">
        <v>0</v>
      </c>
      <c r="K365" s="14">
        <v>0</v>
      </c>
      <c r="L365" s="14">
        <v>1</v>
      </c>
      <c r="M365" s="15">
        <v>65.611999999999995</v>
      </c>
      <c r="N365" s="16" t="str">
        <f t="shared" si="15"/>
        <v>NE</v>
      </c>
      <c r="O365" s="17">
        <v>5.8</v>
      </c>
      <c r="P365" s="16" t="s">
        <v>138</v>
      </c>
      <c r="Q365" s="18">
        <v>0</v>
      </c>
      <c r="R365" s="19">
        <v>22.8</v>
      </c>
      <c r="S365" s="19">
        <v>15.7</v>
      </c>
      <c r="T365" s="19">
        <v>29.1</v>
      </c>
      <c r="U365" s="20">
        <v>66.489999999999995</v>
      </c>
      <c r="V365" s="16" t="s">
        <v>10</v>
      </c>
      <c r="W365" s="21">
        <v>0</v>
      </c>
      <c r="X365" s="21">
        <v>0.57999999999999996</v>
      </c>
      <c r="Y365" s="21">
        <v>0.42</v>
      </c>
      <c r="Z365" s="21">
        <v>0</v>
      </c>
      <c r="AA365" s="21">
        <v>0</v>
      </c>
      <c r="AB365" s="21">
        <v>0</v>
      </c>
      <c r="AC365" s="21">
        <v>0</v>
      </c>
      <c r="AD365" s="21">
        <v>0</v>
      </c>
      <c r="AE365" s="21">
        <v>6.5</v>
      </c>
      <c r="AF365" s="21">
        <v>6.29</v>
      </c>
      <c r="AG365" s="21">
        <v>12</v>
      </c>
      <c r="AH365" s="18" t="s">
        <v>39</v>
      </c>
      <c r="AI365" s="13" t="str">
        <f>VLOOKUP(AH365,'Hess and Brezowsky'!$B$2:$G$31,2,FALSE)</f>
        <v>Meridional</v>
      </c>
      <c r="AJ365" s="18" t="str">
        <f>VLOOKUP(AH365,'Hess and Brezowsky'!$B$2:$G$31,3,FALSE)</f>
        <v>C</v>
      </c>
      <c r="AK365" s="13" t="str">
        <f>VLOOKUP(AH365,'Hess and Brezowsky'!$B$2:$G$31,4,FALSE)</f>
        <v>Icelandic High, Trough Central Europe</v>
      </c>
      <c r="AL365" s="29">
        <v>0.15940972222222222</v>
      </c>
      <c r="AM365" s="29">
        <v>0.49372685185185183</v>
      </c>
      <c r="AN365" s="30">
        <v>0.82804398148148151</v>
      </c>
    </row>
    <row r="366" spans="1:40" ht="15.75" customHeight="1" x14ac:dyDescent="0.2">
      <c r="A366" s="27">
        <v>45086</v>
      </c>
      <c r="B366" s="13">
        <v>2023</v>
      </c>
      <c r="C366" s="13">
        <v>160</v>
      </c>
      <c r="D366" s="13">
        <f t="shared" si="14"/>
        <v>6</v>
      </c>
      <c r="E366" s="13"/>
      <c r="F366" s="13">
        <f t="shared" si="13"/>
        <v>3</v>
      </c>
      <c r="G366" s="14">
        <v>0.91</v>
      </c>
      <c r="H366" s="14">
        <v>0</v>
      </c>
      <c r="I366" s="14">
        <v>1</v>
      </c>
      <c r="J366" s="14">
        <v>0</v>
      </c>
      <c r="K366" s="14">
        <v>0</v>
      </c>
      <c r="L366" s="14">
        <v>1</v>
      </c>
      <c r="M366" s="15">
        <v>102.322</v>
      </c>
      <c r="N366" s="16" t="str">
        <f t="shared" si="15"/>
        <v>E</v>
      </c>
      <c r="O366" s="17">
        <v>7.2</v>
      </c>
      <c r="P366" s="16" t="s">
        <v>137</v>
      </c>
      <c r="Q366" s="18">
        <v>0</v>
      </c>
      <c r="R366" s="19">
        <v>24.92</v>
      </c>
      <c r="S366" s="19">
        <v>17.600000000000001</v>
      </c>
      <c r="T366" s="19">
        <v>30.7</v>
      </c>
      <c r="U366" s="20">
        <v>106.1</v>
      </c>
      <c r="V366" s="16" t="s">
        <v>9</v>
      </c>
      <c r="W366" s="21">
        <v>0</v>
      </c>
      <c r="X366" s="21">
        <v>0</v>
      </c>
      <c r="Y366" s="21">
        <v>0.79</v>
      </c>
      <c r="Z366" s="21">
        <v>0.21</v>
      </c>
      <c r="AA366" s="21">
        <v>0</v>
      </c>
      <c r="AB366" s="21">
        <v>0</v>
      </c>
      <c r="AC366" s="21">
        <v>0</v>
      </c>
      <c r="AD366" s="21">
        <v>0</v>
      </c>
      <c r="AE366" s="21">
        <v>7.04</v>
      </c>
      <c r="AF366" s="21">
        <v>6.71</v>
      </c>
      <c r="AG366" s="21">
        <v>10.6</v>
      </c>
      <c r="AH366" s="18" t="s">
        <v>26</v>
      </c>
      <c r="AI366" s="13" t="str">
        <f>VLOOKUP(AH366,'Hess and Brezowsky'!$B$2:$G$31,2,FALSE)</f>
        <v>Meridional</v>
      </c>
      <c r="AJ366" s="18" t="str">
        <f>VLOOKUP(AH366,'Hess and Brezowsky'!$B$2:$G$31,3,FALSE)</f>
        <v>A</v>
      </c>
      <c r="AK366" s="13" t="str">
        <f>VLOOKUP(AH366,'Hess and Brezowsky'!$B$2:$G$31,4,FALSE)</f>
        <v>High Scandinavia-Iceland, Ridge Central Europe</v>
      </c>
      <c r="AL366" s="29">
        <v>0.15915509259259258</v>
      </c>
      <c r="AM366" s="29">
        <v>0.49385416666666665</v>
      </c>
      <c r="AN366" s="30">
        <v>0.82856481481481481</v>
      </c>
    </row>
    <row r="367" spans="1:40" ht="15.75" customHeight="1" x14ac:dyDescent="0.2">
      <c r="A367" s="27">
        <v>45087</v>
      </c>
      <c r="B367" s="13">
        <v>2023</v>
      </c>
      <c r="C367" s="13">
        <v>161</v>
      </c>
      <c r="D367" s="13">
        <f t="shared" si="14"/>
        <v>7</v>
      </c>
      <c r="E367" s="13"/>
      <c r="F367" s="13">
        <f t="shared" si="13"/>
        <v>3</v>
      </c>
      <c r="G367" s="14">
        <v>0.83</v>
      </c>
      <c r="H367" s="14">
        <v>0</v>
      </c>
      <c r="I367" s="14">
        <v>1</v>
      </c>
      <c r="J367" s="14">
        <v>0</v>
      </c>
      <c r="K367" s="14">
        <v>0</v>
      </c>
      <c r="L367" s="14">
        <v>1</v>
      </c>
      <c r="M367" s="15">
        <v>144.374</v>
      </c>
      <c r="N367" s="16" t="str">
        <f t="shared" si="15"/>
        <v>SE</v>
      </c>
      <c r="O367" s="17">
        <v>5</v>
      </c>
      <c r="P367" s="16" t="s">
        <v>137</v>
      </c>
      <c r="Q367" s="18">
        <v>0.2</v>
      </c>
      <c r="R367" s="19">
        <v>24.03</v>
      </c>
      <c r="S367" s="19">
        <v>19.399999999999999</v>
      </c>
      <c r="T367" s="19">
        <v>30.6</v>
      </c>
      <c r="U367" s="20">
        <v>137.61000000000001</v>
      </c>
      <c r="V367" s="16" t="s">
        <v>11</v>
      </c>
      <c r="W367" s="21">
        <v>0</v>
      </c>
      <c r="X367" s="21">
        <v>0.04</v>
      </c>
      <c r="Y367" s="21">
        <v>0.08</v>
      </c>
      <c r="Z367" s="21">
        <v>0.79</v>
      </c>
      <c r="AA367" s="21">
        <v>0.08</v>
      </c>
      <c r="AB367" s="21">
        <v>0</v>
      </c>
      <c r="AC367" s="21">
        <v>0</v>
      </c>
      <c r="AD367" s="21">
        <v>0</v>
      </c>
      <c r="AE367" s="21">
        <v>4.82</v>
      </c>
      <c r="AF367" s="21">
        <v>4.6399999999999997</v>
      </c>
      <c r="AG367" s="21">
        <v>13.3</v>
      </c>
      <c r="AH367" s="18" t="s">
        <v>26</v>
      </c>
      <c r="AI367" s="13" t="str">
        <f>VLOOKUP(AH367,'Hess and Brezowsky'!$B$2:$G$31,2,FALSE)</f>
        <v>Meridional</v>
      </c>
      <c r="AJ367" s="18" t="str">
        <f>VLOOKUP(AH367,'Hess and Brezowsky'!$B$2:$G$31,3,FALSE)</f>
        <v>A</v>
      </c>
      <c r="AK367" s="13" t="str">
        <f>VLOOKUP(AH367,'Hess and Brezowsky'!$B$2:$G$31,4,FALSE)</f>
        <v>High Scandinavia-Iceland, Ridge Central Europe</v>
      </c>
      <c r="AL367" s="29">
        <v>0.15892361111111111</v>
      </c>
      <c r="AM367" s="29">
        <v>0.49399305555555556</v>
      </c>
      <c r="AN367" s="30">
        <v>0.82906250000000004</v>
      </c>
    </row>
    <row r="368" spans="1:40" ht="15.75" customHeight="1" x14ac:dyDescent="0.2">
      <c r="A368" s="27">
        <v>45088</v>
      </c>
      <c r="B368" s="13">
        <v>2023</v>
      </c>
      <c r="C368" s="13">
        <v>162</v>
      </c>
      <c r="D368" s="13">
        <f t="shared" si="14"/>
        <v>1</v>
      </c>
      <c r="E368" s="13"/>
      <c r="F368" s="13">
        <f t="shared" si="13"/>
        <v>3</v>
      </c>
      <c r="G368" s="14">
        <v>0.95</v>
      </c>
      <c r="H368" s="14">
        <v>0</v>
      </c>
      <c r="I368" s="14">
        <v>1</v>
      </c>
      <c r="J368" s="14">
        <v>0</v>
      </c>
      <c r="K368" s="14">
        <v>0</v>
      </c>
      <c r="L368" s="14">
        <v>1</v>
      </c>
      <c r="M368" s="15">
        <v>308.49900000000002</v>
      </c>
      <c r="N368" s="16" t="str">
        <f t="shared" si="15"/>
        <v>NW</v>
      </c>
      <c r="O368" s="17">
        <v>3.8</v>
      </c>
      <c r="P368" s="16" t="s">
        <v>137</v>
      </c>
      <c r="Q368" s="18">
        <v>4.4000000000000004</v>
      </c>
      <c r="R368" s="19">
        <v>22.54</v>
      </c>
      <c r="S368" s="19">
        <v>18.7</v>
      </c>
      <c r="T368" s="19">
        <v>27.2</v>
      </c>
      <c r="U368" s="20">
        <v>297.44</v>
      </c>
      <c r="V368" s="16" t="s">
        <v>6</v>
      </c>
      <c r="W368" s="21">
        <v>0.08</v>
      </c>
      <c r="X368" s="21">
        <v>0</v>
      </c>
      <c r="Y368" s="21">
        <v>0.12</v>
      </c>
      <c r="Z368" s="21">
        <v>0.12</v>
      </c>
      <c r="AA368" s="21">
        <v>0.12</v>
      </c>
      <c r="AB368" s="21">
        <v>0.08</v>
      </c>
      <c r="AC368" s="21">
        <v>0.21</v>
      </c>
      <c r="AD368" s="21">
        <v>0.25</v>
      </c>
      <c r="AE368" s="21">
        <v>3.75</v>
      </c>
      <c r="AF368" s="21">
        <v>1.96</v>
      </c>
      <c r="AG368" s="21">
        <v>11.2</v>
      </c>
      <c r="AH368" s="18" t="s">
        <v>26</v>
      </c>
      <c r="AI368" s="13" t="str">
        <f>VLOOKUP(AH368,'Hess and Brezowsky'!$B$2:$G$31,2,FALSE)</f>
        <v>Meridional</v>
      </c>
      <c r="AJ368" s="18" t="str">
        <f>VLOOKUP(AH368,'Hess and Brezowsky'!$B$2:$G$31,3,FALSE)</f>
        <v>A</v>
      </c>
      <c r="AK368" s="13" t="str">
        <f>VLOOKUP(AH368,'Hess and Brezowsky'!$B$2:$G$31,4,FALSE)</f>
        <v>High Scandinavia-Iceland, Ridge Central Europe</v>
      </c>
      <c r="AL368" s="29">
        <v>0.15871527777777777</v>
      </c>
      <c r="AM368" s="29">
        <v>0.49412037037037038</v>
      </c>
      <c r="AN368" s="30">
        <v>0.82952546296296292</v>
      </c>
    </row>
    <row r="369" spans="1:40" ht="15.75" customHeight="1" x14ac:dyDescent="0.2">
      <c r="A369" s="27">
        <v>45089</v>
      </c>
      <c r="B369" s="13">
        <v>2023</v>
      </c>
      <c r="C369" s="13">
        <v>163</v>
      </c>
      <c r="D369" s="13">
        <f t="shared" si="14"/>
        <v>2</v>
      </c>
      <c r="E369" s="13"/>
      <c r="F369" s="13">
        <f t="shared" si="13"/>
        <v>3</v>
      </c>
      <c r="G369" s="14">
        <v>1</v>
      </c>
      <c r="H369" s="14">
        <v>0</v>
      </c>
      <c r="I369" s="14">
        <v>1</v>
      </c>
      <c r="J369" s="14">
        <v>0</v>
      </c>
      <c r="K369" s="14">
        <v>0</v>
      </c>
      <c r="L369" s="14">
        <v>1</v>
      </c>
      <c r="M369" s="15">
        <v>358.10500000000002</v>
      </c>
      <c r="N369" s="16" t="str">
        <f t="shared" si="15"/>
        <v>N</v>
      </c>
      <c r="O369" s="17">
        <v>4.8</v>
      </c>
      <c r="P369" s="16" t="s">
        <v>137</v>
      </c>
      <c r="Q369" s="18">
        <v>0</v>
      </c>
      <c r="R369" s="19">
        <v>22.04</v>
      </c>
      <c r="S369" s="19">
        <v>18</v>
      </c>
      <c r="T369" s="19">
        <v>28.1</v>
      </c>
      <c r="U369" s="20">
        <v>352.6</v>
      </c>
      <c r="V369" s="16" t="s">
        <v>7</v>
      </c>
      <c r="W369" s="21">
        <v>0.79</v>
      </c>
      <c r="X369" s="21">
        <v>0.04</v>
      </c>
      <c r="Y369" s="21">
        <v>0</v>
      </c>
      <c r="Z369" s="21">
        <v>0</v>
      </c>
      <c r="AA369" s="21">
        <v>0</v>
      </c>
      <c r="AB369" s="21">
        <v>0</v>
      </c>
      <c r="AC369" s="21">
        <v>0</v>
      </c>
      <c r="AD369" s="21">
        <v>0.17</v>
      </c>
      <c r="AE369" s="21">
        <v>3.88</v>
      </c>
      <c r="AF369" s="21">
        <v>3.71</v>
      </c>
      <c r="AG369" s="21">
        <v>6.9</v>
      </c>
      <c r="AH369" s="18" t="s">
        <v>26</v>
      </c>
      <c r="AI369" s="13" t="str">
        <f>VLOOKUP(AH369,'Hess and Brezowsky'!$B$2:$G$31,2,FALSE)</f>
        <v>Meridional</v>
      </c>
      <c r="AJ369" s="18" t="str">
        <f>VLOOKUP(AH369,'Hess and Brezowsky'!$B$2:$G$31,3,FALSE)</f>
        <v>A</v>
      </c>
      <c r="AK369" s="13" t="str">
        <f>VLOOKUP(AH369,'Hess and Brezowsky'!$B$2:$G$31,4,FALSE)</f>
        <v>High Scandinavia-Iceland, Ridge Central Europe</v>
      </c>
      <c r="AL369" s="29">
        <v>0.15855324074074073</v>
      </c>
      <c r="AM369" s="29">
        <v>0.49425925925925923</v>
      </c>
      <c r="AN369" s="30">
        <v>0.82995370370370369</v>
      </c>
    </row>
    <row r="370" spans="1:40" ht="15.75" customHeight="1" x14ac:dyDescent="0.2">
      <c r="A370" s="27">
        <v>45090</v>
      </c>
      <c r="B370" s="13">
        <v>2023</v>
      </c>
      <c r="C370" s="13">
        <v>164</v>
      </c>
      <c r="D370" s="13">
        <f t="shared" si="14"/>
        <v>3</v>
      </c>
      <c r="E370" s="13"/>
      <c r="F370" s="13">
        <f t="shared" si="13"/>
        <v>4</v>
      </c>
      <c r="G370" s="14">
        <v>1</v>
      </c>
      <c r="H370" s="14">
        <v>0</v>
      </c>
      <c r="I370" s="14">
        <v>1</v>
      </c>
      <c r="J370" s="14">
        <v>0.62</v>
      </c>
      <c r="K370" s="14">
        <v>0</v>
      </c>
      <c r="L370" s="14">
        <v>1</v>
      </c>
      <c r="M370" s="15">
        <v>65.86</v>
      </c>
      <c r="N370" s="16" t="str">
        <f t="shared" si="15"/>
        <v>NE</v>
      </c>
      <c r="O370" s="17">
        <v>6.1</v>
      </c>
      <c r="P370" s="16" t="s">
        <v>138</v>
      </c>
      <c r="Q370" s="18">
        <v>0</v>
      </c>
      <c r="R370" s="19">
        <v>24.38</v>
      </c>
      <c r="S370" s="19">
        <v>17.5</v>
      </c>
      <c r="T370" s="19">
        <v>30</v>
      </c>
      <c r="U370" s="20">
        <v>67.23</v>
      </c>
      <c r="V370" s="16" t="s">
        <v>10</v>
      </c>
      <c r="W370" s="21">
        <v>0</v>
      </c>
      <c r="X370" s="21">
        <v>0.57999999999999996</v>
      </c>
      <c r="Y370" s="21">
        <v>0.42</v>
      </c>
      <c r="Z370" s="21">
        <v>0</v>
      </c>
      <c r="AA370" s="21">
        <v>0</v>
      </c>
      <c r="AB370" s="21">
        <v>0</v>
      </c>
      <c r="AC370" s="21">
        <v>0</v>
      </c>
      <c r="AD370" s="21">
        <v>0</v>
      </c>
      <c r="AE370" s="21">
        <v>6.05</v>
      </c>
      <c r="AF370" s="21">
        <v>5.71</v>
      </c>
      <c r="AG370" s="21">
        <v>9.6999999999999993</v>
      </c>
      <c r="AH370" s="18" t="s">
        <v>39</v>
      </c>
      <c r="AI370" s="13" t="str">
        <f>VLOOKUP(AH370,'Hess and Brezowsky'!$B$2:$G$31,2,FALSE)</f>
        <v>Meridional</v>
      </c>
      <c r="AJ370" s="18" t="str">
        <f>VLOOKUP(AH370,'Hess and Brezowsky'!$B$2:$G$31,3,FALSE)</f>
        <v>C</v>
      </c>
      <c r="AK370" s="13" t="str">
        <f>VLOOKUP(AH370,'Hess and Brezowsky'!$B$2:$G$31,4,FALSE)</f>
        <v>Icelandic High, Trough Central Europe</v>
      </c>
      <c r="AL370" s="29">
        <v>0.15841435185185185</v>
      </c>
      <c r="AM370" s="29">
        <v>0.49438657407407405</v>
      </c>
      <c r="AN370" s="30">
        <v>0.83037037037037043</v>
      </c>
    </row>
    <row r="371" spans="1:40" ht="15.75" customHeight="1" x14ac:dyDescent="0.2">
      <c r="A371" s="27">
        <v>45091</v>
      </c>
      <c r="B371" s="13">
        <v>2023</v>
      </c>
      <c r="C371" s="13">
        <v>165</v>
      </c>
      <c r="D371" s="13">
        <f t="shared" si="14"/>
        <v>4</v>
      </c>
      <c r="E371" s="13"/>
      <c r="F371" s="13">
        <f t="shared" si="13"/>
        <v>4</v>
      </c>
      <c r="G371" s="14">
        <v>0.87</v>
      </c>
      <c r="H371" s="14">
        <v>0</v>
      </c>
      <c r="I371" s="14">
        <v>1</v>
      </c>
      <c r="J371" s="14">
        <v>1</v>
      </c>
      <c r="K371" s="14">
        <v>0</v>
      </c>
      <c r="L371" s="14">
        <v>1</v>
      </c>
      <c r="M371" s="15">
        <v>58.997</v>
      </c>
      <c r="N371" s="16" t="str">
        <f t="shared" si="15"/>
        <v>NE</v>
      </c>
      <c r="O371" s="17">
        <v>4.8</v>
      </c>
      <c r="P371" s="16" t="s">
        <v>138</v>
      </c>
      <c r="Q371" s="18">
        <v>0</v>
      </c>
      <c r="R371" s="19">
        <v>24.46</v>
      </c>
      <c r="S371" s="19">
        <v>17</v>
      </c>
      <c r="T371" s="19">
        <v>29.9</v>
      </c>
      <c r="U371" s="20">
        <v>57.45</v>
      </c>
      <c r="V371" s="16" t="s">
        <v>10</v>
      </c>
      <c r="W371" s="21">
        <v>0.17</v>
      </c>
      <c r="X371" s="21">
        <v>0.38</v>
      </c>
      <c r="Y371" s="21">
        <v>0.46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4.63</v>
      </c>
      <c r="AF371" s="21">
        <v>3.87</v>
      </c>
      <c r="AG371" s="21">
        <v>8.1</v>
      </c>
      <c r="AH371" s="18" t="s">
        <v>39</v>
      </c>
      <c r="AI371" s="13" t="str">
        <f>VLOOKUP(AH371,'Hess and Brezowsky'!$B$2:$G$31,2,FALSE)</f>
        <v>Meridional</v>
      </c>
      <c r="AJ371" s="18" t="str">
        <f>VLOOKUP(AH371,'Hess and Brezowsky'!$B$2:$G$31,3,FALSE)</f>
        <v>C</v>
      </c>
      <c r="AK371" s="13" t="str">
        <f>VLOOKUP(AH371,'Hess and Brezowsky'!$B$2:$G$31,4,FALSE)</f>
        <v>Icelandic High, Trough Central Europe</v>
      </c>
      <c r="AL371" s="29">
        <v>0.1582986111111111</v>
      </c>
      <c r="AM371" s="29">
        <v>0.49452546296296296</v>
      </c>
      <c r="AN371" s="30">
        <v>0.83075231481481482</v>
      </c>
    </row>
    <row r="372" spans="1:40" ht="15.75" customHeight="1" x14ac:dyDescent="0.2">
      <c r="A372" s="27">
        <v>45092</v>
      </c>
      <c r="B372" s="13">
        <v>2023</v>
      </c>
      <c r="C372" s="13">
        <v>166</v>
      </c>
      <c r="D372" s="13">
        <f t="shared" si="14"/>
        <v>5</v>
      </c>
      <c r="E372" s="13"/>
      <c r="F372" s="13">
        <f t="shared" si="13"/>
        <v>4</v>
      </c>
      <c r="G372" s="14">
        <v>0.91</v>
      </c>
      <c r="H372" s="14">
        <v>0</v>
      </c>
      <c r="I372" s="14">
        <v>1</v>
      </c>
      <c r="J372" s="14">
        <v>1</v>
      </c>
      <c r="K372" s="14">
        <v>0</v>
      </c>
      <c r="L372" s="14">
        <v>1</v>
      </c>
      <c r="M372" s="15">
        <v>31.565000000000001</v>
      </c>
      <c r="N372" s="16" t="str">
        <f t="shared" si="15"/>
        <v>NE</v>
      </c>
      <c r="O372" s="17">
        <v>4.5</v>
      </c>
      <c r="P372" s="16" t="s">
        <v>137</v>
      </c>
      <c r="Q372" s="18">
        <v>0</v>
      </c>
      <c r="R372" s="19">
        <v>24</v>
      </c>
      <c r="S372" s="19">
        <v>17.899999999999999</v>
      </c>
      <c r="T372" s="19">
        <v>29</v>
      </c>
      <c r="U372" s="20">
        <v>27.07</v>
      </c>
      <c r="V372" s="16" t="s">
        <v>10</v>
      </c>
      <c r="W372" s="21">
        <v>0.54</v>
      </c>
      <c r="X372" s="21">
        <v>0.21</v>
      </c>
      <c r="Y372" s="21">
        <v>0.21</v>
      </c>
      <c r="Z372" s="21">
        <v>0</v>
      </c>
      <c r="AA372" s="21">
        <v>0</v>
      </c>
      <c r="AB372" s="21">
        <v>0</v>
      </c>
      <c r="AC372" s="21">
        <v>0</v>
      </c>
      <c r="AD372" s="21">
        <v>0.04</v>
      </c>
      <c r="AE372" s="21">
        <v>4.2699999999999996</v>
      </c>
      <c r="AF372" s="21">
        <v>3.47</v>
      </c>
      <c r="AG372" s="21">
        <v>7.2</v>
      </c>
      <c r="AH372" s="18" t="s">
        <v>39</v>
      </c>
      <c r="AI372" s="13" t="str">
        <f>VLOOKUP(AH372,'Hess and Brezowsky'!$B$2:$G$31,2,FALSE)</f>
        <v>Meridional</v>
      </c>
      <c r="AJ372" s="18" t="str">
        <f>VLOOKUP(AH372,'Hess and Brezowsky'!$B$2:$G$31,3,FALSE)</f>
        <v>C</v>
      </c>
      <c r="AK372" s="13" t="str">
        <f>VLOOKUP(AH372,'Hess and Brezowsky'!$B$2:$G$31,4,FALSE)</f>
        <v>Icelandic High, Trough Central Europe</v>
      </c>
      <c r="AL372" s="29">
        <v>0.15822916666666667</v>
      </c>
      <c r="AM372" s="29">
        <v>0.49466435185185187</v>
      </c>
      <c r="AN372" s="30">
        <v>0.83109953703703698</v>
      </c>
    </row>
    <row r="373" spans="1:40" ht="15.75" customHeight="1" x14ac:dyDescent="0.2">
      <c r="A373" s="27">
        <v>45093</v>
      </c>
      <c r="B373" s="13">
        <v>2023</v>
      </c>
      <c r="C373" s="13">
        <v>167</v>
      </c>
      <c r="D373" s="13">
        <f t="shared" si="14"/>
        <v>6</v>
      </c>
      <c r="E373" s="13"/>
      <c r="F373" s="13">
        <f t="shared" si="13"/>
        <v>4</v>
      </c>
      <c r="G373" s="14">
        <v>0.79</v>
      </c>
      <c r="H373" s="14">
        <v>0</v>
      </c>
      <c r="I373" s="14">
        <v>1</v>
      </c>
      <c r="J373" s="14">
        <v>1</v>
      </c>
      <c r="K373" s="14">
        <v>0</v>
      </c>
      <c r="L373" s="14">
        <v>0.95</v>
      </c>
      <c r="M373" s="15">
        <v>70.959999999999994</v>
      </c>
      <c r="N373" s="16" t="str">
        <f t="shared" si="15"/>
        <v>E</v>
      </c>
      <c r="O373" s="17">
        <v>4.0999999999999996</v>
      </c>
      <c r="P373" s="16" t="s">
        <v>137</v>
      </c>
      <c r="Q373" s="18">
        <v>0</v>
      </c>
      <c r="R373" s="19">
        <v>24.61</v>
      </c>
      <c r="S373" s="19">
        <v>18.100000000000001</v>
      </c>
      <c r="T373" s="19">
        <v>30.3</v>
      </c>
      <c r="U373" s="20">
        <v>68.67</v>
      </c>
      <c r="V373" s="16" t="s">
        <v>9</v>
      </c>
      <c r="W373" s="21">
        <v>0.08</v>
      </c>
      <c r="X373" s="21">
        <v>0.67</v>
      </c>
      <c r="Y373" s="21">
        <v>0.21</v>
      </c>
      <c r="Z373" s="21">
        <v>0.04</v>
      </c>
      <c r="AA373" s="21">
        <v>0</v>
      </c>
      <c r="AB373" s="21">
        <v>0</v>
      </c>
      <c r="AC373" s="21">
        <v>0</v>
      </c>
      <c r="AD373" s="21">
        <v>0</v>
      </c>
      <c r="AE373" s="21">
        <v>4.09</v>
      </c>
      <c r="AF373" s="21">
        <v>3.56</v>
      </c>
      <c r="AG373" s="21">
        <v>9.6</v>
      </c>
      <c r="AH373" s="18" t="s">
        <v>39</v>
      </c>
      <c r="AI373" s="13" t="str">
        <f>VLOOKUP(AH373,'Hess and Brezowsky'!$B$2:$G$31,2,FALSE)</f>
        <v>Meridional</v>
      </c>
      <c r="AJ373" s="18" t="str">
        <f>VLOOKUP(AH373,'Hess and Brezowsky'!$B$2:$G$31,3,FALSE)</f>
        <v>C</v>
      </c>
      <c r="AK373" s="13" t="str">
        <f>VLOOKUP(AH373,'Hess and Brezowsky'!$B$2:$G$31,4,FALSE)</f>
        <v>Icelandic High, Trough Central Europe</v>
      </c>
      <c r="AL373" s="29">
        <v>0.15818287037037038</v>
      </c>
      <c r="AM373" s="29">
        <v>0.49480324074074072</v>
      </c>
      <c r="AN373" s="30">
        <v>0.83142361111111107</v>
      </c>
    </row>
    <row r="374" spans="1:40" ht="15.75" customHeight="1" x14ac:dyDescent="0.2">
      <c r="A374" s="27">
        <v>45094</v>
      </c>
      <c r="B374" s="13">
        <v>2023</v>
      </c>
      <c r="C374" s="13">
        <v>168</v>
      </c>
      <c r="D374" s="13">
        <f t="shared" si="14"/>
        <v>7</v>
      </c>
      <c r="E374" s="13"/>
      <c r="F374" s="13">
        <f t="shared" ref="F374:F437" si="16">IF(G374 &gt; 0.5,1,0)+IF(H374 &gt; 0.5,1,0)+IF(I374 &gt; 0.5,1,0)+IF(J374 &gt; 0.5,1,0)+IF(K374 &gt; 0.5,1,0)+IF(L375 &gt; 0.5,1,0)</f>
        <v>4</v>
      </c>
      <c r="G374" s="14">
        <v>0.87</v>
      </c>
      <c r="H374" s="14">
        <v>0</v>
      </c>
      <c r="I374" s="14">
        <v>1</v>
      </c>
      <c r="J374" s="14">
        <v>1</v>
      </c>
      <c r="K374" s="14">
        <v>0</v>
      </c>
      <c r="L374" s="14">
        <v>1</v>
      </c>
      <c r="M374" s="15">
        <v>145.553</v>
      </c>
      <c r="N374" s="16" t="str">
        <f t="shared" si="15"/>
        <v>SE</v>
      </c>
      <c r="O374" s="17">
        <v>6.5</v>
      </c>
      <c r="P374" s="16" t="s">
        <v>137</v>
      </c>
      <c r="Q374" s="18">
        <v>0.6</v>
      </c>
      <c r="R374" s="19">
        <v>24.96</v>
      </c>
      <c r="S374" s="19">
        <v>19.7</v>
      </c>
      <c r="T374" s="19">
        <v>31.1</v>
      </c>
      <c r="U374" s="20">
        <v>148.86000000000001</v>
      </c>
      <c r="V374" s="16" t="s">
        <v>11</v>
      </c>
      <c r="W374" s="21">
        <v>0</v>
      </c>
      <c r="X374" s="21">
        <v>0</v>
      </c>
      <c r="Y374" s="21">
        <v>0.04</v>
      </c>
      <c r="Z374" s="21">
        <v>0.57999999999999996</v>
      </c>
      <c r="AA374" s="21">
        <v>0.33</v>
      </c>
      <c r="AB374" s="21">
        <v>0</v>
      </c>
      <c r="AC374" s="21">
        <v>0.04</v>
      </c>
      <c r="AD374" s="21">
        <v>0</v>
      </c>
      <c r="AE374" s="21">
        <v>6.56</v>
      </c>
      <c r="AF374" s="21">
        <v>5.86</v>
      </c>
      <c r="AG374" s="21">
        <v>12</v>
      </c>
      <c r="AH374" s="18" t="s">
        <v>39</v>
      </c>
      <c r="AI374" s="13" t="str">
        <f>VLOOKUP(AH374,'Hess and Brezowsky'!$B$2:$G$31,2,FALSE)</f>
        <v>Meridional</v>
      </c>
      <c r="AJ374" s="18" t="str">
        <f>VLOOKUP(AH374,'Hess and Brezowsky'!$B$2:$G$31,3,FALSE)</f>
        <v>C</v>
      </c>
      <c r="AK374" s="13" t="str">
        <f>VLOOKUP(AH374,'Hess and Brezowsky'!$B$2:$G$31,4,FALSE)</f>
        <v>Icelandic High, Trough Central Europe</v>
      </c>
      <c r="AL374" s="29">
        <v>0.15817129629629631</v>
      </c>
      <c r="AM374" s="29">
        <v>0.49494212962962963</v>
      </c>
      <c r="AN374" s="30">
        <v>0.83172453703703708</v>
      </c>
    </row>
    <row r="375" spans="1:40" ht="15.75" customHeight="1" x14ac:dyDescent="0.2">
      <c r="A375" s="27">
        <v>45095</v>
      </c>
      <c r="B375" s="13">
        <v>2023</v>
      </c>
      <c r="C375" s="13">
        <v>169</v>
      </c>
      <c r="D375" s="13">
        <f t="shared" si="14"/>
        <v>1</v>
      </c>
      <c r="E375" s="13"/>
      <c r="F375" s="13">
        <f t="shared" si="16"/>
        <v>4</v>
      </c>
      <c r="G375" s="14">
        <v>1</v>
      </c>
      <c r="H375" s="14">
        <v>0</v>
      </c>
      <c r="I375" s="14">
        <v>1</v>
      </c>
      <c r="J375" s="14">
        <v>1</v>
      </c>
      <c r="K375" s="14">
        <v>0</v>
      </c>
      <c r="L375" s="14">
        <v>1</v>
      </c>
      <c r="M375" s="15">
        <v>190.79400000000001</v>
      </c>
      <c r="N375" s="16" t="str">
        <f t="shared" si="15"/>
        <v>S</v>
      </c>
      <c r="O375" s="17">
        <v>6.5</v>
      </c>
      <c r="P375" s="16" t="s">
        <v>137</v>
      </c>
      <c r="Q375" s="18">
        <v>14.1</v>
      </c>
      <c r="R375" s="19">
        <v>22.39</v>
      </c>
      <c r="S375" s="19">
        <v>17.5</v>
      </c>
      <c r="T375" s="19">
        <v>30.2</v>
      </c>
      <c r="U375" s="20">
        <v>208.32</v>
      </c>
      <c r="V375" s="16" t="s">
        <v>5</v>
      </c>
      <c r="W375" s="21">
        <v>0</v>
      </c>
      <c r="X375" s="21">
        <v>0.08</v>
      </c>
      <c r="Y375" s="21">
        <v>0.08</v>
      </c>
      <c r="Z375" s="21">
        <v>0.21</v>
      </c>
      <c r="AA375" s="21">
        <v>0.08</v>
      </c>
      <c r="AB375" s="21">
        <v>0.17</v>
      </c>
      <c r="AC375" s="21">
        <v>0.21</v>
      </c>
      <c r="AD375" s="21">
        <v>0.17</v>
      </c>
      <c r="AE375" s="21">
        <v>6.44</v>
      </c>
      <c r="AF375" s="21">
        <v>2.64</v>
      </c>
      <c r="AG375" s="21">
        <v>17.7</v>
      </c>
      <c r="AH375" s="18" t="s">
        <v>12</v>
      </c>
      <c r="AI375" s="13" t="str">
        <f>VLOOKUP(AH375,'Hess and Brezowsky'!$B$2:$G$31,2,FALSE)</f>
        <v>Undefined</v>
      </c>
      <c r="AJ375" s="18" t="str">
        <f>VLOOKUP(AH375,'Hess and Brezowsky'!$B$2:$G$31,3,FALSE)</f>
        <v>M</v>
      </c>
      <c r="AK375" s="13" t="str">
        <f>VLOOKUP(AH375,'Hess and Brezowsky'!$B$2:$G$31,4,FALSE)</f>
        <v>Transistion / Undefined</v>
      </c>
      <c r="AL375" s="29">
        <v>0.15818287037037038</v>
      </c>
      <c r="AM375" s="29">
        <v>0.49508101851851855</v>
      </c>
      <c r="AN375" s="30">
        <v>0.83199074074074075</v>
      </c>
    </row>
    <row r="376" spans="1:40" ht="15.75" customHeight="1" x14ac:dyDescent="0.2">
      <c r="A376" s="27">
        <v>45096</v>
      </c>
      <c r="B376" s="13">
        <v>2023</v>
      </c>
      <c r="C376" s="13">
        <v>170</v>
      </c>
      <c r="D376" s="13">
        <f t="shared" si="14"/>
        <v>2</v>
      </c>
      <c r="E376" s="13"/>
      <c r="F376" s="13">
        <f t="shared" si="16"/>
        <v>4</v>
      </c>
      <c r="G376" s="14">
        <v>1</v>
      </c>
      <c r="H376" s="14">
        <v>0</v>
      </c>
      <c r="I376" s="14">
        <v>1</v>
      </c>
      <c r="J376" s="14">
        <v>1</v>
      </c>
      <c r="K376" s="14">
        <v>0</v>
      </c>
      <c r="L376" s="14">
        <v>1</v>
      </c>
      <c r="M376" s="15">
        <v>162.97800000000001</v>
      </c>
      <c r="N376" s="16" t="str">
        <f t="shared" si="15"/>
        <v>S</v>
      </c>
      <c r="O376" s="17">
        <v>4.0999999999999996</v>
      </c>
      <c r="P376" s="16" t="s">
        <v>137</v>
      </c>
      <c r="Q376" s="18">
        <v>0.4</v>
      </c>
      <c r="R376" s="19">
        <v>20.8</v>
      </c>
      <c r="S376" s="19">
        <v>16.2</v>
      </c>
      <c r="T376" s="19">
        <v>25.7</v>
      </c>
      <c r="U376" s="20">
        <v>176</v>
      </c>
      <c r="V376" s="16" t="s">
        <v>13</v>
      </c>
      <c r="W376" s="21">
        <v>0</v>
      </c>
      <c r="X376" s="21">
        <v>0.04</v>
      </c>
      <c r="Y376" s="21">
        <v>0.12</v>
      </c>
      <c r="Z376" s="21">
        <v>0.25</v>
      </c>
      <c r="AA376" s="21">
        <v>0.21</v>
      </c>
      <c r="AB376" s="21">
        <v>0.08</v>
      </c>
      <c r="AC376" s="21">
        <v>0.21</v>
      </c>
      <c r="AD376" s="21">
        <v>0.08</v>
      </c>
      <c r="AE376" s="21">
        <v>4.04</v>
      </c>
      <c r="AF376" s="21">
        <v>2.06</v>
      </c>
      <c r="AG376" s="21">
        <v>12.3</v>
      </c>
      <c r="AH376" s="18" t="s">
        <v>15</v>
      </c>
      <c r="AI376" s="13" t="str">
        <f>VLOOKUP(AH376,'Hess and Brezowsky'!$B$2:$G$31,2,FALSE)</f>
        <v>Meridional</v>
      </c>
      <c r="AJ376" s="18" t="str">
        <f>VLOOKUP(AH376,'Hess and Brezowsky'!$B$2:$G$31,3,FALSE)</f>
        <v>C</v>
      </c>
      <c r="AK376" s="13" t="str">
        <f>VLOOKUP(AH376,'Hess and Brezowsky'!$B$2:$G$31,4,FALSE)</f>
        <v>Cyclonic Southerly</v>
      </c>
      <c r="AL376" s="29">
        <v>0.15822916666666667</v>
      </c>
      <c r="AM376" s="29">
        <v>0.49523148148148149</v>
      </c>
      <c r="AN376" s="30">
        <v>0.8322222222222222</v>
      </c>
    </row>
    <row r="377" spans="1:40" ht="15.75" customHeight="1" x14ac:dyDescent="0.2">
      <c r="A377" s="27">
        <v>45097</v>
      </c>
      <c r="B377" s="13">
        <v>2023</v>
      </c>
      <c r="C377" s="13">
        <v>171</v>
      </c>
      <c r="D377" s="13">
        <f t="shared" si="14"/>
        <v>3</v>
      </c>
      <c r="E377" s="13"/>
      <c r="F377" s="13">
        <f t="shared" si="16"/>
        <v>4</v>
      </c>
      <c r="G377" s="14">
        <v>1</v>
      </c>
      <c r="H377" s="14">
        <v>0</v>
      </c>
      <c r="I377" s="14">
        <v>1</v>
      </c>
      <c r="J377" s="14">
        <v>1</v>
      </c>
      <c r="K377" s="14">
        <v>0</v>
      </c>
      <c r="L377" s="14">
        <v>1</v>
      </c>
      <c r="M377" s="15">
        <v>201.917</v>
      </c>
      <c r="N377" s="16" t="str">
        <f t="shared" si="15"/>
        <v>S</v>
      </c>
      <c r="O377" s="17">
        <v>7.2</v>
      </c>
      <c r="P377" s="16" t="s">
        <v>137</v>
      </c>
      <c r="Q377" s="18">
        <v>0.2</v>
      </c>
      <c r="R377" s="19">
        <v>22.34</v>
      </c>
      <c r="S377" s="19">
        <v>18.3</v>
      </c>
      <c r="T377" s="19">
        <v>27.5</v>
      </c>
      <c r="U377" s="20">
        <v>199.25</v>
      </c>
      <c r="V377" s="16" t="s">
        <v>13</v>
      </c>
      <c r="W377" s="21">
        <v>0</v>
      </c>
      <c r="X377" s="21">
        <v>0</v>
      </c>
      <c r="Y377" s="21">
        <v>0</v>
      </c>
      <c r="Z377" s="21">
        <v>0</v>
      </c>
      <c r="AA377" s="21">
        <v>0.42</v>
      </c>
      <c r="AB377" s="21">
        <v>0.57999999999999996</v>
      </c>
      <c r="AC377" s="21">
        <v>0</v>
      </c>
      <c r="AD377" s="21">
        <v>0</v>
      </c>
      <c r="AE377" s="21">
        <v>6.49</v>
      </c>
      <c r="AF377" s="21">
        <v>6.1</v>
      </c>
      <c r="AG377" s="21">
        <v>13.3</v>
      </c>
      <c r="AH377" s="18" t="s">
        <v>15</v>
      </c>
      <c r="AI377" s="13" t="str">
        <f>VLOOKUP(AH377,'Hess and Brezowsky'!$B$2:$G$31,2,FALSE)</f>
        <v>Meridional</v>
      </c>
      <c r="AJ377" s="18" t="str">
        <f>VLOOKUP(AH377,'Hess and Brezowsky'!$B$2:$G$31,3,FALSE)</f>
        <v>C</v>
      </c>
      <c r="AK377" s="13" t="str">
        <f>VLOOKUP(AH377,'Hess and Brezowsky'!$B$2:$G$31,4,FALSE)</f>
        <v>Cyclonic Southerly</v>
      </c>
      <c r="AL377" s="29">
        <v>0.15831018518518519</v>
      </c>
      <c r="AM377" s="29">
        <v>0.49537037037037035</v>
      </c>
      <c r="AN377" s="30">
        <v>0.83243055555555556</v>
      </c>
    </row>
    <row r="378" spans="1:40" ht="15.75" customHeight="1" x14ac:dyDescent="0.2">
      <c r="A378" s="27">
        <v>45098</v>
      </c>
      <c r="B378" s="13">
        <v>2023</v>
      </c>
      <c r="C378" s="13">
        <v>172</v>
      </c>
      <c r="D378" s="13">
        <f t="shared" si="14"/>
        <v>4</v>
      </c>
      <c r="E378" s="13"/>
      <c r="F378" s="13">
        <f t="shared" si="16"/>
        <v>4</v>
      </c>
      <c r="G378" s="14">
        <v>0.95</v>
      </c>
      <c r="H378" s="14">
        <v>0</v>
      </c>
      <c r="I378" s="14">
        <v>1</v>
      </c>
      <c r="J378" s="14">
        <v>1</v>
      </c>
      <c r="K378" s="14">
        <v>0</v>
      </c>
      <c r="L378" s="14">
        <v>1</v>
      </c>
      <c r="M378" s="15">
        <v>10.349</v>
      </c>
      <c r="N378" s="16" t="str">
        <f t="shared" si="15"/>
        <v>N</v>
      </c>
      <c r="O378" s="17">
        <v>4.4000000000000004</v>
      </c>
      <c r="P378" s="16" t="s">
        <v>137</v>
      </c>
      <c r="Q378" s="18">
        <v>0</v>
      </c>
      <c r="R378" s="19">
        <v>23.16</v>
      </c>
      <c r="S378" s="19">
        <v>18.100000000000001</v>
      </c>
      <c r="T378" s="19">
        <v>28.6</v>
      </c>
      <c r="U378" s="20">
        <v>358.17</v>
      </c>
      <c r="V378" s="16" t="s">
        <v>7</v>
      </c>
      <c r="W378" s="21">
        <v>0.12</v>
      </c>
      <c r="X378" s="21">
        <v>0.28999999999999998</v>
      </c>
      <c r="Y378" s="21">
        <v>0.12</v>
      </c>
      <c r="Z378" s="21">
        <v>0</v>
      </c>
      <c r="AA378" s="21">
        <v>0</v>
      </c>
      <c r="AB378" s="21">
        <v>0.08</v>
      </c>
      <c r="AC378" s="21">
        <v>0.21</v>
      </c>
      <c r="AD378" s="21">
        <v>0.17</v>
      </c>
      <c r="AE378" s="21">
        <v>4.29</v>
      </c>
      <c r="AF378" s="21">
        <v>2.11</v>
      </c>
      <c r="AG378" s="21">
        <v>10.6</v>
      </c>
      <c r="AH378" s="18" t="s">
        <v>15</v>
      </c>
      <c r="AI378" s="13" t="str">
        <f>VLOOKUP(AH378,'Hess and Brezowsky'!$B$2:$G$31,2,FALSE)</f>
        <v>Meridional</v>
      </c>
      <c r="AJ378" s="18" t="str">
        <f>VLOOKUP(AH378,'Hess and Brezowsky'!$B$2:$G$31,3,FALSE)</f>
        <v>C</v>
      </c>
      <c r="AK378" s="13" t="str">
        <f>VLOOKUP(AH378,'Hess and Brezowsky'!$B$2:$G$31,4,FALSE)</f>
        <v>Cyclonic Southerly</v>
      </c>
      <c r="AL378" s="29">
        <v>0.15841435185185185</v>
      </c>
      <c r="AM378" s="29">
        <v>0.49550925925925926</v>
      </c>
      <c r="AN378" s="30">
        <v>0.8326041666666667</v>
      </c>
    </row>
    <row r="379" spans="1:40" ht="15.75" customHeight="1" x14ac:dyDescent="0.2">
      <c r="A379" s="27">
        <v>45099</v>
      </c>
      <c r="B379" s="13">
        <v>2023</v>
      </c>
      <c r="C379" s="13">
        <v>173</v>
      </c>
      <c r="D379" s="13">
        <f t="shared" si="14"/>
        <v>5</v>
      </c>
      <c r="E379" s="13"/>
      <c r="F379" s="13">
        <f t="shared" si="16"/>
        <v>4</v>
      </c>
      <c r="G379" s="14">
        <v>1</v>
      </c>
      <c r="H379" s="14">
        <v>0</v>
      </c>
      <c r="I379" s="14">
        <v>1</v>
      </c>
      <c r="J379" s="14">
        <v>1</v>
      </c>
      <c r="K379" s="14">
        <v>0</v>
      </c>
      <c r="L379" s="14">
        <v>0.95</v>
      </c>
      <c r="M379" s="15">
        <v>352.44499999999999</v>
      </c>
      <c r="N379" s="16" t="str">
        <f t="shared" si="15"/>
        <v>N</v>
      </c>
      <c r="O379" s="17">
        <v>8</v>
      </c>
      <c r="P379" s="16" t="s">
        <v>137</v>
      </c>
      <c r="Q379" s="18">
        <v>16.3</v>
      </c>
      <c r="R379" s="19">
        <v>20.46</v>
      </c>
      <c r="S379" s="19">
        <v>17.8</v>
      </c>
      <c r="T379" s="19">
        <v>25.3</v>
      </c>
      <c r="U379" s="20">
        <v>349.27</v>
      </c>
      <c r="V379" s="16" t="s">
        <v>7</v>
      </c>
      <c r="W379" s="21">
        <v>0.17</v>
      </c>
      <c r="X379" s="21">
        <v>0.33</v>
      </c>
      <c r="Y379" s="21">
        <v>0</v>
      </c>
      <c r="Z379" s="21">
        <v>0</v>
      </c>
      <c r="AA379" s="21">
        <v>0</v>
      </c>
      <c r="AB379" s="21">
        <v>0</v>
      </c>
      <c r="AC379" s="21">
        <v>0</v>
      </c>
      <c r="AD379" s="21">
        <v>0.5</v>
      </c>
      <c r="AE379" s="21">
        <v>8.1300000000000008</v>
      </c>
      <c r="AF379" s="21">
        <v>6.43</v>
      </c>
      <c r="AG379" s="21">
        <v>12.7</v>
      </c>
      <c r="AH379" s="18" t="s">
        <v>12</v>
      </c>
      <c r="AI379" s="13" t="str">
        <f>VLOOKUP(AH379,'Hess and Brezowsky'!$B$2:$G$31,2,FALSE)</f>
        <v>Undefined</v>
      </c>
      <c r="AJ379" s="18" t="str">
        <f>VLOOKUP(AH379,'Hess and Brezowsky'!$B$2:$G$31,3,FALSE)</f>
        <v>M</v>
      </c>
      <c r="AK379" s="13" t="str">
        <f>VLOOKUP(AH379,'Hess and Brezowsky'!$B$2:$G$31,4,FALSE)</f>
        <v>Transistion / Undefined</v>
      </c>
      <c r="AL379" s="29">
        <v>0.15855324074074073</v>
      </c>
      <c r="AM379" s="29">
        <v>0.49564814814814817</v>
      </c>
      <c r="AN379" s="30">
        <v>0.8327430555555555</v>
      </c>
    </row>
    <row r="380" spans="1:40" ht="15.75" customHeight="1" x14ac:dyDescent="0.2">
      <c r="A380" s="27">
        <v>45100</v>
      </c>
      <c r="B380" s="13">
        <v>2023</v>
      </c>
      <c r="C380" s="13">
        <v>174</v>
      </c>
      <c r="D380" s="13">
        <f t="shared" si="14"/>
        <v>6</v>
      </c>
      <c r="E380" s="13"/>
      <c r="F380" s="13">
        <f t="shared" si="16"/>
        <v>4</v>
      </c>
      <c r="G380" s="14">
        <v>0.95</v>
      </c>
      <c r="H380" s="14">
        <v>0</v>
      </c>
      <c r="I380" s="14">
        <v>1</v>
      </c>
      <c r="J380" s="14">
        <v>1</v>
      </c>
      <c r="K380" s="14">
        <v>0</v>
      </c>
      <c r="L380" s="14">
        <v>1</v>
      </c>
      <c r="M380" s="15">
        <v>328.23</v>
      </c>
      <c r="N380" s="16" t="str">
        <f t="shared" si="15"/>
        <v>NW</v>
      </c>
      <c r="O380" s="17">
        <v>4.3</v>
      </c>
      <c r="P380" s="16" t="s">
        <v>137</v>
      </c>
      <c r="Q380" s="18">
        <v>0</v>
      </c>
      <c r="R380" s="19">
        <v>22.52</v>
      </c>
      <c r="S380" s="19">
        <v>15.9</v>
      </c>
      <c r="T380" s="19">
        <v>29.4</v>
      </c>
      <c r="U380" s="20">
        <v>321.48</v>
      </c>
      <c r="V380" s="16" t="s">
        <v>6</v>
      </c>
      <c r="W380" s="21">
        <v>0.21</v>
      </c>
      <c r="X380" s="21">
        <v>0.04</v>
      </c>
      <c r="Y380" s="21">
        <v>0</v>
      </c>
      <c r="Z380" s="21">
        <v>0</v>
      </c>
      <c r="AA380" s="21">
        <v>0</v>
      </c>
      <c r="AB380" s="21">
        <v>0</v>
      </c>
      <c r="AC380" s="21">
        <v>0.28999999999999998</v>
      </c>
      <c r="AD380" s="21">
        <v>0.46</v>
      </c>
      <c r="AE380" s="21">
        <v>4.3</v>
      </c>
      <c r="AF380" s="21">
        <v>3.47</v>
      </c>
      <c r="AG380" s="21">
        <v>9.4</v>
      </c>
      <c r="AH380" s="18" t="s">
        <v>8</v>
      </c>
      <c r="AI380" s="13" t="str">
        <f>VLOOKUP(AH380,'Hess and Brezowsky'!$B$2:$G$31,2,FALSE)</f>
        <v>Mixed</v>
      </c>
      <c r="AJ380" s="18" t="str">
        <f>VLOOKUP(AH380,'Hess and Brezowsky'!$B$2:$G$31,3,FALSE)</f>
        <v>A</v>
      </c>
      <c r="AK380" s="13" t="str">
        <f>VLOOKUP(AH380,'Hess and Brezowsky'!$B$2:$G$31,4,FALSE)</f>
        <v>High over Central Europe</v>
      </c>
      <c r="AL380" s="29">
        <v>0.15872685185185184</v>
      </c>
      <c r="AM380" s="29">
        <v>0.49578703703703703</v>
      </c>
      <c r="AN380" s="30">
        <v>0.83284722222222218</v>
      </c>
    </row>
    <row r="381" spans="1:40" ht="15.75" customHeight="1" x14ac:dyDescent="0.2">
      <c r="A381" s="27">
        <v>45101</v>
      </c>
      <c r="B381" s="13">
        <v>2023</v>
      </c>
      <c r="C381" s="13">
        <v>175</v>
      </c>
      <c r="D381" s="13">
        <f t="shared" si="14"/>
        <v>7</v>
      </c>
      <c r="E381" s="13"/>
      <c r="F381" s="13">
        <f t="shared" si="16"/>
        <v>4</v>
      </c>
      <c r="G381" s="14">
        <v>0.75</v>
      </c>
      <c r="H381" s="14">
        <v>0</v>
      </c>
      <c r="I381" s="14">
        <v>1</v>
      </c>
      <c r="J381" s="14">
        <v>1</v>
      </c>
      <c r="K381" s="14">
        <v>0</v>
      </c>
      <c r="L381" s="14">
        <v>0.83</v>
      </c>
      <c r="M381" s="15">
        <v>60.591999999999999</v>
      </c>
      <c r="N381" s="16" t="str">
        <f t="shared" si="15"/>
        <v>NE</v>
      </c>
      <c r="O381" s="17">
        <v>4.7</v>
      </c>
      <c r="P381" s="16" t="s">
        <v>138</v>
      </c>
      <c r="Q381" s="18">
        <v>0</v>
      </c>
      <c r="R381" s="19">
        <v>24.64</v>
      </c>
      <c r="S381" s="19">
        <v>17.8</v>
      </c>
      <c r="T381" s="19">
        <v>30.6</v>
      </c>
      <c r="U381" s="20">
        <v>55.45</v>
      </c>
      <c r="V381" s="16" t="s">
        <v>10</v>
      </c>
      <c r="W381" s="21">
        <v>0.12</v>
      </c>
      <c r="X381" s="21">
        <v>0.5</v>
      </c>
      <c r="Y381" s="21">
        <v>0.38</v>
      </c>
      <c r="Z381" s="21">
        <v>0</v>
      </c>
      <c r="AA381" s="21">
        <v>0</v>
      </c>
      <c r="AB381" s="21">
        <v>0</v>
      </c>
      <c r="AC381" s="21">
        <v>0</v>
      </c>
      <c r="AD381" s="21">
        <v>0</v>
      </c>
      <c r="AE381" s="21">
        <v>4.4000000000000004</v>
      </c>
      <c r="AF381" s="21">
        <v>3.96</v>
      </c>
      <c r="AG381" s="21">
        <v>9.5</v>
      </c>
      <c r="AH381" s="18" t="s">
        <v>8</v>
      </c>
      <c r="AI381" s="13" t="str">
        <f>VLOOKUP(AH381,'Hess and Brezowsky'!$B$2:$G$31,2,FALSE)</f>
        <v>Mixed</v>
      </c>
      <c r="AJ381" s="18" t="str">
        <f>VLOOKUP(AH381,'Hess and Brezowsky'!$B$2:$G$31,3,FALSE)</f>
        <v>A</v>
      </c>
      <c r="AK381" s="13" t="str">
        <f>VLOOKUP(AH381,'Hess and Brezowsky'!$B$2:$G$31,4,FALSE)</f>
        <v>High over Central Europe</v>
      </c>
      <c r="AL381" s="29">
        <v>0.15892361111111111</v>
      </c>
      <c r="AM381" s="29">
        <v>0.49592592592592594</v>
      </c>
      <c r="AN381" s="30">
        <v>0.83292824074074079</v>
      </c>
    </row>
    <row r="382" spans="1:40" ht="15.75" customHeight="1" x14ac:dyDescent="0.2">
      <c r="A382" s="27">
        <v>45102</v>
      </c>
      <c r="B382" s="13">
        <v>2023</v>
      </c>
      <c r="C382" s="13">
        <v>176</v>
      </c>
      <c r="D382" s="13">
        <f t="shared" si="14"/>
        <v>1</v>
      </c>
      <c r="E382" s="13"/>
      <c r="F382" s="13">
        <f t="shared" si="16"/>
        <v>4</v>
      </c>
      <c r="G382" s="14">
        <v>0.62</v>
      </c>
      <c r="H382" s="14">
        <v>0</v>
      </c>
      <c r="I382" s="14">
        <v>1</v>
      </c>
      <c r="J382" s="14">
        <v>1</v>
      </c>
      <c r="K382" s="14">
        <v>0</v>
      </c>
      <c r="L382" s="14">
        <v>0.87</v>
      </c>
      <c r="M382" s="15">
        <v>199.74799999999999</v>
      </c>
      <c r="N382" s="16" t="str">
        <f t="shared" si="15"/>
        <v>S</v>
      </c>
      <c r="O382" s="17">
        <v>6.7</v>
      </c>
      <c r="P382" s="16" t="s">
        <v>139</v>
      </c>
      <c r="Q382" s="18">
        <v>0</v>
      </c>
      <c r="R382" s="19">
        <v>26.92</v>
      </c>
      <c r="S382" s="19">
        <v>19.600000000000001</v>
      </c>
      <c r="T382" s="19">
        <v>33.799999999999997</v>
      </c>
      <c r="U382" s="20">
        <v>195.5</v>
      </c>
      <c r="V382" s="16" t="s">
        <v>13</v>
      </c>
      <c r="W382" s="21">
        <v>0</v>
      </c>
      <c r="X382" s="21">
        <v>0</v>
      </c>
      <c r="Y382" s="21">
        <v>0.12</v>
      </c>
      <c r="Z382" s="21">
        <v>0.17</v>
      </c>
      <c r="AA382" s="21">
        <v>0.28999999999999998</v>
      </c>
      <c r="AB382" s="21">
        <v>0.17</v>
      </c>
      <c r="AC382" s="21">
        <v>0.08</v>
      </c>
      <c r="AD382" s="21">
        <v>0.17</v>
      </c>
      <c r="AE382" s="21">
        <v>6.43</v>
      </c>
      <c r="AF382" s="21">
        <v>2.02</v>
      </c>
      <c r="AG382" s="21">
        <v>12.9</v>
      </c>
      <c r="AH382" s="18" t="s">
        <v>8</v>
      </c>
      <c r="AI382" s="13" t="str">
        <f>VLOOKUP(AH382,'Hess and Brezowsky'!$B$2:$G$31,2,FALSE)</f>
        <v>Mixed</v>
      </c>
      <c r="AJ382" s="18" t="str">
        <f>VLOOKUP(AH382,'Hess and Brezowsky'!$B$2:$G$31,3,FALSE)</f>
        <v>A</v>
      </c>
      <c r="AK382" s="13" t="str">
        <f>VLOOKUP(AH382,'Hess and Brezowsky'!$B$2:$G$31,4,FALSE)</f>
        <v>High over Central Europe</v>
      </c>
      <c r="AL382" s="29">
        <v>0.15915509259259258</v>
      </c>
      <c r="AM382" s="29">
        <v>0.49606481481481479</v>
      </c>
      <c r="AN382" s="30">
        <v>0.83298611111111109</v>
      </c>
    </row>
    <row r="383" spans="1:40" ht="15.75" customHeight="1" x14ac:dyDescent="0.2">
      <c r="A383" s="27">
        <v>45103</v>
      </c>
      <c r="B383" s="13">
        <v>2023</v>
      </c>
      <c r="C383" s="13">
        <v>177</v>
      </c>
      <c r="D383" s="13">
        <f t="shared" si="14"/>
        <v>2</v>
      </c>
      <c r="E383" s="13"/>
      <c r="F383" s="13">
        <f t="shared" si="16"/>
        <v>4</v>
      </c>
      <c r="G383" s="14">
        <v>1</v>
      </c>
      <c r="H383" s="14">
        <v>0</v>
      </c>
      <c r="I383" s="14">
        <v>1</v>
      </c>
      <c r="J383" s="14">
        <v>1</v>
      </c>
      <c r="K383" s="14">
        <v>0</v>
      </c>
      <c r="L383" s="14">
        <v>1</v>
      </c>
      <c r="M383" s="15">
        <v>307.51799999999997</v>
      </c>
      <c r="N383" s="16" t="str">
        <f t="shared" si="15"/>
        <v>NW</v>
      </c>
      <c r="O383" s="17">
        <v>6.6</v>
      </c>
      <c r="P383" s="16" t="s">
        <v>137</v>
      </c>
      <c r="Q383" s="18">
        <v>0</v>
      </c>
      <c r="R383" s="19">
        <v>20.11</v>
      </c>
      <c r="S383" s="19">
        <v>16.7</v>
      </c>
      <c r="T383" s="19">
        <v>23.8</v>
      </c>
      <c r="U383" s="20">
        <v>299.39</v>
      </c>
      <c r="V383" s="16" t="s">
        <v>6</v>
      </c>
      <c r="W383" s="21">
        <v>0</v>
      </c>
      <c r="X383" s="21">
        <v>0</v>
      </c>
      <c r="Y383" s="21">
        <v>0</v>
      </c>
      <c r="Z383" s="21">
        <v>0</v>
      </c>
      <c r="AA383" s="21">
        <v>0</v>
      </c>
      <c r="AB383" s="21">
        <v>0</v>
      </c>
      <c r="AC383" s="21">
        <v>0.46</v>
      </c>
      <c r="AD383" s="21">
        <v>0.54</v>
      </c>
      <c r="AE383" s="21">
        <v>6.91</v>
      </c>
      <c r="AF383" s="21">
        <v>6.7</v>
      </c>
      <c r="AG383" s="21">
        <v>9.4</v>
      </c>
      <c r="AH383" s="18" t="s">
        <v>44</v>
      </c>
      <c r="AI383" s="13" t="str">
        <f>VLOOKUP(AH383,'Hess and Brezowsky'!$B$2:$G$31,2,FALSE)</f>
        <v>Mixed</v>
      </c>
      <c r="AJ383" s="18" t="str">
        <f>VLOOKUP(AH383,'Hess and Brezowsky'!$B$2:$G$31,3,FALSE)</f>
        <v>A</v>
      </c>
      <c r="AK383" s="13" t="str">
        <f>VLOOKUP(AH383,'Hess and Brezowsky'!$B$2:$G$31,4,FALSE)</f>
        <v>Anticyclonic North-Westerly</v>
      </c>
      <c r="AL383" s="29">
        <v>0.15942129629629628</v>
      </c>
      <c r="AM383" s="29">
        <v>0.4962037037037037</v>
      </c>
      <c r="AN383" s="30">
        <v>0.83299768518518513</v>
      </c>
    </row>
    <row r="384" spans="1:40" ht="15.75" customHeight="1" x14ac:dyDescent="0.2">
      <c r="A384" s="27">
        <v>45104</v>
      </c>
      <c r="B384" s="13">
        <v>2023</v>
      </c>
      <c r="C384" s="13">
        <v>178</v>
      </c>
      <c r="D384" s="13">
        <f t="shared" si="14"/>
        <v>3</v>
      </c>
      <c r="E384" s="13"/>
      <c r="F384" s="13">
        <f t="shared" si="16"/>
        <v>4</v>
      </c>
      <c r="G384" s="14">
        <v>1</v>
      </c>
      <c r="H384" s="14">
        <v>0</v>
      </c>
      <c r="I384" s="14">
        <v>1</v>
      </c>
      <c r="J384" s="14">
        <v>1</v>
      </c>
      <c r="K384" s="14">
        <v>0</v>
      </c>
      <c r="L384" s="14">
        <v>1</v>
      </c>
      <c r="M384" s="15">
        <v>321.35300000000001</v>
      </c>
      <c r="N384" s="16" t="str">
        <f t="shared" si="15"/>
        <v>NW</v>
      </c>
      <c r="O384" s="17">
        <v>4.7</v>
      </c>
      <c r="P384" s="16" t="s">
        <v>137</v>
      </c>
      <c r="Q384" s="18">
        <v>0</v>
      </c>
      <c r="R384" s="19">
        <v>20.41</v>
      </c>
      <c r="S384" s="19">
        <v>15.8</v>
      </c>
      <c r="T384" s="19">
        <v>25.4</v>
      </c>
      <c r="U384" s="20">
        <v>312.48</v>
      </c>
      <c r="V384" s="16" t="s">
        <v>6</v>
      </c>
      <c r="W384" s="21">
        <v>0.12</v>
      </c>
      <c r="X384" s="21">
        <v>0</v>
      </c>
      <c r="Y384" s="21">
        <v>0</v>
      </c>
      <c r="Z384" s="21">
        <v>0</v>
      </c>
      <c r="AA384" s="21">
        <v>0</v>
      </c>
      <c r="AB384" s="21">
        <v>0</v>
      </c>
      <c r="AC384" s="21">
        <v>0.08</v>
      </c>
      <c r="AD384" s="21">
        <v>0.79</v>
      </c>
      <c r="AE384" s="21">
        <v>4.78</v>
      </c>
      <c r="AF384" s="21">
        <v>4.53</v>
      </c>
      <c r="AG384" s="21">
        <v>7.9</v>
      </c>
      <c r="AH384" s="18" t="s">
        <v>44</v>
      </c>
      <c r="AI384" s="13" t="str">
        <f>VLOOKUP(AH384,'Hess and Brezowsky'!$B$2:$G$31,2,FALSE)</f>
        <v>Mixed</v>
      </c>
      <c r="AJ384" s="18" t="str">
        <f>VLOOKUP(AH384,'Hess and Brezowsky'!$B$2:$G$31,3,FALSE)</f>
        <v>A</v>
      </c>
      <c r="AK384" s="13" t="str">
        <f>VLOOKUP(AH384,'Hess and Brezowsky'!$B$2:$G$31,4,FALSE)</f>
        <v>Anticyclonic North-Westerly</v>
      </c>
      <c r="AL384" s="29">
        <v>0.15969907407407408</v>
      </c>
      <c r="AM384" s="29">
        <v>0.49634259259259261</v>
      </c>
      <c r="AN384" s="30">
        <v>0.83298611111111109</v>
      </c>
    </row>
    <row r="385" spans="1:40" ht="15.75" customHeight="1" x14ac:dyDescent="0.2">
      <c r="A385" s="27">
        <v>45105</v>
      </c>
      <c r="B385" s="13">
        <v>2023</v>
      </c>
      <c r="C385" s="13">
        <v>179</v>
      </c>
      <c r="D385" s="13">
        <f t="shared" si="14"/>
        <v>4</v>
      </c>
      <c r="E385" s="13"/>
      <c r="F385" s="13">
        <f t="shared" si="16"/>
        <v>4</v>
      </c>
      <c r="G385" s="14">
        <v>1</v>
      </c>
      <c r="H385" s="14">
        <v>0</v>
      </c>
      <c r="I385" s="14">
        <v>1</v>
      </c>
      <c r="J385" s="14">
        <v>1</v>
      </c>
      <c r="K385" s="14">
        <v>0</v>
      </c>
      <c r="L385" s="14">
        <v>1</v>
      </c>
      <c r="M385" s="15">
        <v>6.9580000000000002</v>
      </c>
      <c r="N385" s="16" t="str">
        <f t="shared" si="15"/>
        <v>N</v>
      </c>
      <c r="O385" s="17">
        <v>3.1</v>
      </c>
      <c r="P385" s="16" t="s">
        <v>137</v>
      </c>
      <c r="Q385" s="18">
        <v>0</v>
      </c>
      <c r="R385" s="19">
        <v>21.98</v>
      </c>
      <c r="S385" s="19">
        <v>16.899999999999999</v>
      </c>
      <c r="T385" s="19">
        <v>26.3</v>
      </c>
      <c r="U385" s="20">
        <v>359.73</v>
      </c>
      <c r="V385" s="16" t="s">
        <v>7</v>
      </c>
      <c r="W385" s="21">
        <v>0.46</v>
      </c>
      <c r="X385" s="21">
        <v>0.12</v>
      </c>
      <c r="Y385" s="21">
        <v>0.08</v>
      </c>
      <c r="Z385" s="21">
        <v>0</v>
      </c>
      <c r="AA385" s="21">
        <v>0</v>
      </c>
      <c r="AB385" s="21">
        <v>0</v>
      </c>
      <c r="AC385" s="21">
        <v>0.21</v>
      </c>
      <c r="AD385" s="21">
        <v>0.12</v>
      </c>
      <c r="AE385" s="21">
        <v>2.69</v>
      </c>
      <c r="AF385" s="21">
        <v>1.71</v>
      </c>
      <c r="AG385" s="21">
        <v>6</v>
      </c>
      <c r="AH385" s="18" t="s">
        <v>44</v>
      </c>
      <c r="AI385" s="13" t="str">
        <f>VLOOKUP(AH385,'Hess and Brezowsky'!$B$2:$G$31,2,FALSE)</f>
        <v>Mixed</v>
      </c>
      <c r="AJ385" s="18" t="str">
        <f>VLOOKUP(AH385,'Hess and Brezowsky'!$B$2:$G$31,3,FALSE)</f>
        <v>A</v>
      </c>
      <c r="AK385" s="13" t="str">
        <f>VLOOKUP(AH385,'Hess and Brezowsky'!$B$2:$G$31,4,FALSE)</f>
        <v>Anticyclonic North-Westerly</v>
      </c>
      <c r="AL385" s="29">
        <v>0.16002314814814814</v>
      </c>
      <c r="AM385" s="29">
        <v>0.49648148148148147</v>
      </c>
      <c r="AN385" s="30">
        <v>0.83293981481481483</v>
      </c>
    </row>
    <row r="386" spans="1:40" ht="15.75" customHeight="1" x14ac:dyDescent="0.2">
      <c r="A386" s="27">
        <v>45106</v>
      </c>
      <c r="B386" s="13">
        <v>2023</v>
      </c>
      <c r="C386" s="13">
        <v>180</v>
      </c>
      <c r="D386" s="13">
        <f t="shared" ref="D386:D449" si="17">WEEKDAY(A386)</f>
        <v>5</v>
      </c>
      <c r="E386" s="13"/>
      <c r="F386" s="13">
        <f t="shared" si="16"/>
        <v>4</v>
      </c>
      <c r="G386" s="14">
        <v>1</v>
      </c>
      <c r="H386" s="14">
        <v>0</v>
      </c>
      <c r="I386" s="14">
        <v>1</v>
      </c>
      <c r="J386" s="14">
        <v>1</v>
      </c>
      <c r="K386" s="14">
        <v>0</v>
      </c>
      <c r="L386" s="14">
        <v>1</v>
      </c>
      <c r="M386" s="15">
        <v>324.66000000000003</v>
      </c>
      <c r="N386" s="16" t="str">
        <f t="shared" ref="N386:N449" si="18">IF(AND(M386 &gt; 22.5,M386&lt;=67.6),"NE",IF(AND(M386 &gt; 67.5,M386&lt;=112.5),"E",IF(AND(M386 &gt; 112.5,M386&lt;=157.5),"SE",IF(AND(M386 &gt; 157.5,M386&lt;=202.5),"S",IF(AND(M386 &gt; 202.5,M386&lt;=247.5),"SW",IF(AND(M386 &gt; 247.5,M386&lt;=292.5),"W",IF(AND(M386 &gt; 292.5,M386&lt;=337.5),"NW",IF(AND(M386 &gt; 22.5,M386&lt;=360),"N","N"))))))))</f>
        <v>NW</v>
      </c>
      <c r="O386" s="17">
        <v>4.5999999999999996</v>
      </c>
      <c r="P386" s="16" t="s">
        <v>137</v>
      </c>
      <c r="Q386" s="18">
        <v>0</v>
      </c>
      <c r="R386" s="19">
        <v>21.49</v>
      </c>
      <c r="S386" s="19">
        <v>17.7</v>
      </c>
      <c r="T386" s="19">
        <v>26.1</v>
      </c>
      <c r="U386" s="20">
        <v>312.49</v>
      </c>
      <c r="V386" s="16" t="s">
        <v>6</v>
      </c>
      <c r="W386" s="21">
        <v>0.04</v>
      </c>
      <c r="X386" s="21">
        <v>0.12</v>
      </c>
      <c r="Y386" s="21">
        <v>0.21</v>
      </c>
      <c r="Z386" s="21">
        <v>0</v>
      </c>
      <c r="AA386" s="21">
        <v>0</v>
      </c>
      <c r="AB386" s="21">
        <v>0</v>
      </c>
      <c r="AC386" s="21">
        <v>0.04</v>
      </c>
      <c r="AD386" s="21">
        <v>0.57999999999999996</v>
      </c>
      <c r="AE386" s="21">
        <v>4.63</v>
      </c>
      <c r="AF386" s="21">
        <v>3.64</v>
      </c>
      <c r="AG386" s="21">
        <v>10.4</v>
      </c>
      <c r="AH386" s="18" t="s">
        <v>44</v>
      </c>
      <c r="AI386" s="13" t="str">
        <f>VLOOKUP(AH386,'Hess and Brezowsky'!$B$2:$G$31,2,FALSE)</f>
        <v>Mixed</v>
      </c>
      <c r="AJ386" s="18" t="str">
        <f>VLOOKUP(AH386,'Hess and Brezowsky'!$B$2:$G$31,3,FALSE)</f>
        <v>A</v>
      </c>
      <c r="AK386" s="13" t="str">
        <f>VLOOKUP(AH386,'Hess and Brezowsky'!$B$2:$G$31,4,FALSE)</f>
        <v>Anticyclonic North-Westerly</v>
      </c>
      <c r="AL386" s="29">
        <v>0.16035879629629629</v>
      </c>
      <c r="AM386" s="29">
        <v>0.49660879629629628</v>
      </c>
      <c r="AN386" s="30">
        <v>0.83285879629629633</v>
      </c>
    </row>
    <row r="387" spans="1:40" ht="15.75" customHeight="1" x14ac:dyDescent="0.2">
      <c r="A387" s="27">
        <v>45107</v>
      </c>
      <c r="B387" s="13">
        <v>2023</v>
      </c>
      <c r="C387" s="13">
        <v>181</v>
      </c>
      <c r="D387" s="13">
        <f t="shared" si="17"/>
        <v>6</v>
      </c>
      <c r="E387" s="13"/>
      <c r="F387" s="13">
        <f t="shared" si="16"/>
        <v>4</v>
      </c>
      <c r="G387" s="14">
        <v>1</v>
      </c>
      <c r="H387" s="14">
        <v>0</v>
      </c>
      <c r="I387" s="14">
        <v>1</v>
      </c>
      <c r="J387" s="14">
        <v>1</v>
      </c>
      <c r="K387" s="14">
        <v>0</v>
      </c>
      <c r="L387" s="14">
        <v>1</v>
      </c>
      <c r="M387" s="15">
        <v>273.642</v>
      </c>
      <c r="N387" s="16" t="str">
        <f t="shared" si="18"/>
        <v>W</v>
      </c>
      <c r="O387" s="17">
        <v>6.2</v>
      </c>
      <c r="P387" s="16" t="s">
        <v>137</v>
      </c>
      <c r="Q387" s="18">
        <v>0</v>
      </c>
      <c r="R387" s="19">
        <v>19.95</v>
      </c>
      <c r="S387" s="19">
        <v>15.5</v>
      </c>
      <c r="T387" s="19">
        <v>24.3</v>
      </c>
      <c r="U387" s="20">
        <v>270.68</v>
      </c>
      <c r="V387" s="16" t="s">
        <v>16</v>
      </c>
      <c r="W387" s="21">
        <v>0.04</v>
      </c>
      <c r="X387" s="21">
        <v>0</v>
      </c>
      <c r="Y387" s="21">
        <v>0</v>
      </c>
      <c r="Z387" s="21">
        <v>0</v>
      </c>
      <c r="AA387" s="21">
        <v>0</v>
      </c>
      <c r="AB387" s="21">
        <v>0.28999999999999998</v>
      </c>
      <c r="AC387" s="21">
        <v>0.28999999999999998</v>
      </c>
      <c r="AD387" s="21">
        <v>0.38</v>
      </c>
      <c r="AE387" s="21">
        <v>5.84</v>
      </c>
      <c r="AF387" s="21">
        <v>4.51</v>
      </c>
      <c r="AG387" s="21">
        <v>11.2</v>
      </c>
      <c r="AH387" s="18" t="s">
        <v>44</v>
      </c>
      <c r="AI387" s="13" t="str">
        <f>VLOOKUP(AH387,'Hess and Brezowsky'!$B$2:$G$31,2,FALSE)</f>
        <v>Mixed</v>
      </c>
      <c r="AJ387" s="18" t="str">
        <f>VLOOKUP(AH387,'Hess and Brezowsky'!$B$2:$G$31,3,FALSE)</f>
        <v>A</v>
      </c>
      <c r="AK387" s="13" t="str">
        <f>VLOOKUP(AH387,'Hess and Brezowsky'!$B$2:$G$31,4,FALSE)</f>
        <v>Anticyclonic North-Westerly</v>
      </c>
      <c r="AL387" s="29">
        <v>0.16074074074074074</v>
      </c>
      <c r="AM387" s="29">
        <v>0.49674768518518519</v>
      </c>
      <c r="AN387" s="30">
        <v>0.8327430555555555</v>
      </c>
    </row>
    <row r="388" spans="1:40" ht="15.75" customHeight="1" x14ac:dyDescent="0.2">
      <c r="A388" s="27">
        <v>45108</v>
      </c>
      <c r="B388" s="13">
        <v>2023</v>
      </c>
      <c r="C388" s="13">
        <v>182</v>
      </c>
      <c r="D388" s="13">
        <f t="shared" si="17"/>
        <v>7</v>
      </c>
      <c r="E388" s="13"/>
      <c r="F388" s="13">
        <f t="shared" si="16"/>
        <v>4</v>
      </c>
      <c r="G388" s="14">
        <v>1</v>
      </c>
      <c r="H388" s="14">
        <v>0</v>
      </c>
      <c r="I388" s="14">
        <v>1</v>
      </c>
      <c r="J388" s="14">
        <v>1</v>
      </c>
      <c r="K388" s="14">
        <v>0</v>
      </c>
      <c r="L388" s="14">
        <v>1</v>
      </c>
      <c r="M388" s="15">
        <v>261.46300000000002</v>
      </c>
      <c r="N388" s="16" t="str">
        <f t="shared" si="18"/>
        <v>W</v>
      </c>
      <c r="O388" s="17">
        <v>9</v>
      </c>
      <c r="P388" s="16" t="s">
        <v>137</v>
      </c>
      <c r="Q388" s="18">
        <v>1.6</v>
      </c>
      <c r="R388" s="19">
        <v>19.61</v>
      </c>
      <c r="S388" s="19">
        <v>16.5</v>
      </c>
      <c r="T388" s="19">
        <v>23.4</v>
      </c>
      <c r="U388" s="20">
        <v>259.77999999999997</v>
      </c>
      <c r="V388" s="16" t="s">
        <v>16</v>
      </c>
      <c r="W388" s="21">
        <v>0</v>
      </c>
      <c r="X388" s="21">
        <v>0</v>
      </c>
      <c r="Y388" s="21">
        <v>0</v>
      </c>
      <c r="Z388" s="21">
        <v>0</v>
      </c>
      <c r="AA388" s="21">
        <v>0</v>
      </c>
      <c r="AB388" s="21">
        <v>0.33</v>
      </c>
      <c r="AC388" s="21">
        <v>0.67</v>
      </c>
      <c r="AD388" s="21">
        <v>0</v>
      </c>
      <c r="AE388" s="21">
        <v>9.68</v>
      </c>
      <c r="AF388" s="21">
        <v>9.1</v>
      </c>
      <c r="AG388" s="21">
        <v>13.4</v>
      </c>
      <c r="AH388" s="18" t="s">
        <v>28</v>
      </c>
      <c r="AI388" s="13" t="str">
        <f>VLOOKUP(AH388,'Hess and Brezowsky'!$B$2:$G$31,2,FALSE)</f>
        <v>Zonal</v>
      </c>
      <c r="AJ388" s="18" t="str">
        <f>VLOOKUP(AH388,'Hess and Brezowsky'!$B$2:$G$31,3,FALSE)</f>
        <v>C</v>
      </c>
      <c r="AK388" s="13" t="str">
        <f>VLOOKUP(AH388,'Hess and Brezowsky'!$B$2:$G$31,4,FALSE)</f>
        <v>Cyclonic Westerly</v>
      </c>
      <c r="AL388" s="29">
        <v>0.16113425925925925</v>
      </c>
      <c r="AM388" s="29">
        <v>0.49687500000000001</v>
      </c>
      <c r="AN388" s="30">
        <v>0.8326041666666667</v>
      </c>
    </row>
    <row r="389" spans="1:40" ht="15.75" customHeight="1" x14ac:dyDescent="0.2">
      <c r="A389" s="27">
        <v>45109</v>
      </c>
      <c r="B389" s="13">
        <v>2023</v>
      </c>
      <c r="C389" s="13">
        <v>183</v>
      </c>
      <c r="D389" s="13">
        <f t="shared" si="17"/>
        <v>1</v>
      </c>
      <c r="E389" s="13"/>
      <c r="F389" s="13">
        <f t="shared" si="16"/>
        <v>4</v>
      </c>
      <c r="G389" s="14">
        <v>1</v>
      </c>
      <c r="H389" s="14">
        <v>0</v>
      </c>
      <c r="I389" s="14">
        <v>1</v>
      </c>
      <c r="J389" s="14">
        <v>1</v>
      </c>
      <c r="K389" s="14">
        <v>0</v>
      </c>
      <c r="L389" s="14">
        <v>1</v>
      </c>
      <c r="M389" s="15">
        <v>276.13099999999997</v>
      </c>
      <c r="N389" s="16" t="str">
        <f t="shared" si="18"/>
        <v>W</v>
      </c>
      <c r="O389" s="17">
        <v>7.2</v>
      </c>
      <c r="P389" s="16" t="s">
        <v>137</v>
      </c>
      <c r="Q389" s="18">
        <v>0</v>
      </c>
      <c r="R389" s="19">
        <v>19.190000000000001</v>
      </c>
      <c r="S389" s="19">
        <v>14.6</v>
      </c>
      <c r="T389" s="19">
        <v>24.1</v>
      </c>
      <c r="U389" s="20">
        <v>269.02</v>
      </c>
      <c r="V389" s="16" t="s">
        <v>16</v>
      </c>
      <c r="W389" s="21">
        <v>0</v>
      </c>
      <c r="X389" s="21">
        <v>0</v>
      </c>
      <c r="Y389" s="21">
        <v>0</v>
      </c>
      <c r="Z389" s="21">
        <v>0</v>
      </c>
      <c r="AA389" s="21">
        <v>0</v>
      </c>
      <c r="AB389" s="21">
        <v>0</v>
      </c>
      <c r="AC389" s="21">
        <v>0.79</v>
      </c>
      <c r="AD389" s="21">
        <v>0</v>
      </c>
      <c r="AE389" s="21">
        <v>7.93</v>
      </c>
      <c r="AF389" s="21">
        <v>7.9</v>
      </c>
      <c r="AG389" s="21">
        <v>12.9</v>
      </c>
      <c r="AH389" s="18" t="s">
        <v>28</v>
      </c>
      <c r="AI389" s="13" t="str">
        <f>VLOOKUP(AH389,'Hess and Brezowsky'!$B$2:$G$31,2,FALSE)</f>
        <v>Zonal</v>
      </c>
      <c r="AJ389" s="18" t="str">
        <f>VLOOKUP(AH389,'Hess and Brezowsky'!$B$2:$G$31,3,FALSE)</f>
        <v>C</v>
      </c>
      <c r="AK389" s="13" t="str">
        <f>VLOOKUP(AH389,'Hess and Brezowsky'!$B$2:$G$31,4,FALSE)</f>
        <v>Cyclonic Westerly</v>
      </c>
      <c r="AL389" s="29">
        <v>0.1615625</v>
      </c>
      <c r="AM389" s="29">
        <v>0.49700231481481483</v>
      </c>
      <c r="AN389" s="30">
        <v>0.83243055555555556</v>
      </c>
    </row>
    <row r="390" spans="1:40" ht="15.75" customHeight="1" x14ac:dyDescent="0.2">
      <c r="A390" s="27">
        <v>45110</v>
      </c>
      <c r="B390" s="13">
        <v>2023</v>
      </c>
      <c r="C390" s="13">
        <v>184</v>
      </c>
      <c r="D390" s="13">
        <f t="shared" si="17"/>
        <v>2</v>
      </c>
      <c r="E390" s="13"/>
      <c r="F390" s="13">
        <f t="shared" si="16"/>
        <v>4</v>
      </c>
      <c r="G390" s="14">
        <v>1</v>
      </c>
      <c r="H390" s="14">
        <v>0</v>
      </c>
      <c r="I390" s="14">
        <v>1</v>
      </c>
      <c r="J390" s="14">
        <v>1</v>
      </c>
      <c r="K390" s="14">
        <v>0</v>
      </c>
      <c r="L390" s="14">
        <v>1</v>
      </c>
      <c r="M390" s="15">
        <v>269.096</v>
      </c>
      <c r="N390" s="16" t="str">
        <f t="shared" si="18"/>
        <v>W</v>
      </c>
      <c r="O390" s="17">
        <v>6.6</v>
      </c>
      <c r="P390" s="16" t="s">
        <v>137</v>
      </c>
      <c r="Q390" s="18">
        <v>0</v>
      </c>
      <c r="R390" s="19">
        <v>20.12</v>
      </c>
      <c r="S390" s="19">
        <v>16.8</v>
      </c>
      <c r="T390" s="19">
        <v>24.4</v>
      </c>
      <c r="U390" s="20">
        <v>267.31</v>
      </c>
      <c r="V390" s="16" t="s">
        <v>16</v>
      </c>
      <c r="W390" s="21">
        <v>0</v>
      </c>
      <c r="X390" s="21">
        <v>0</v>
      </c>
      <c r="Y390" s="21">
        <v>0</v>
      </c>
      <c r="Z390" s="21">
        <v>0</v>
      </c>
      <c r="AA390" s="21">
        <v>0</v>
      </c>
      <c r="AB390" s="21">
        <v>0.12</v>
      </c>
      <c r="AC390" s="21">
        <v>0.88</v>
      </c>
      <c r="AD390" s="21">
        <v>0</v>
      </c>
      <c r="AE390" s="21">
        <v>7.08</v>
      </c>
      <c r="AF390" s="21">
        <v>6.88</v>
      </c>
      <c r="AG390" s="21">
        <v>11.1</v>
      </c>
      <c r="AH390" s="18" t="s">
        <v>28</v>
      </c>
      <c r="AI390" s="13" t="str">
        <f>VLOOKUP(AH390,'Hess and Brezowsky'!$B$2:$G$31,2,FALSE)</f>
        <v>Zonal</v>
      </c>
      <c r="AJ390" s="18" t="str">
        <f>VLOOKUP(AH390,'Hess and Brezowsky'!$B$2:$G$31,3,FALSE)</f>
        <v>C</v>
      </c>
      <c r="AK390" s="13" t="str">
        <f>VLOOKUP(AH390,'Hess and Brezowsky'!$B$2:$G$31,4,FALSE)</f>
        <v>Cyclonic Westerly</v>
      </c>
      <c r="AL390" s="29">
        <v>0.1620138888888889</v>
      </c>
      <c r="AM390" s="29">
        <v>0.49711805555555555</v>
      </c>
      <c r="AN390" s="30">
        <v>0.8322222222222222</v>
      </c>
    </row>
    <row r="391" spans="1:40" ht="15.75" customHeight="1" x14ac:dyDescent="0.2">
      <c r="A391" s="27">
        <v>45111</v>
      </c>
      <c r="B391" s="13">
        <v>2023</v>
      </c>
      <c r="C391" s="13">
        <v>185</v>
      </c>
      <c r="D391" s="13">
        <f t="shared" si="17"/>
        <v>3</v>
      </c>
      <c r="E391" s="13"/>
      <c r="F391" s="13">
        <f t="shared" si="16"/>
        <v>4</v>
      </c>
      <c r="G391" s="14">
        <v>1</v>
      </c>
      <c r="H391" s="14">
        <v>0</v>
      </c>
      <c r="I391" s="14">
        <v>1</v>
      </c>
      <c r="J391" s="14">
        <v>1</v>
      </c>
      <c r="K391" s="14">
        <v>0</v>
      </c>
      <c r="L391" s="14">
        <v>1</v>
      </c>
      <c r="M391" s="15">
        <v>229.24799999999999</v>
      </c>
      <c r="N391" s="16" t="str">
        <f t="shared" si="18"/>
        <v>SW</v>
      </c>
      <c r="O391" s="17">
        <v>6.2</v>
      </c>
      <c r="P391" s="16" t="s">
        <v>137</v>
      </c>
      <c r="Q391" s="18">
        <v>16.5</v>
      </c>
      <c r="R391" s="19">
        <v>18.7</v>
      </c>
      <c r="S391" s="19">
        <v>14.2</v>
      </c>
      <c r="T391" s="19">
        <v>24.6</v>
      </c>
      <c r="U391" s="20">
        <v>237.28</v>
      </c>
      <c r="V391" s="16" t="s">
        <v>5</v>
      </c>
      <c r="W391" s="21">
        <v>0</v>
      </c>
      <c r="X391" s="21">
        <v>0</v>
      </c>
      <c r="Y391" s="21">
        <v>0.04</v>
      </c>
      <c r="Z391" s="21">
        <v>0.04</v>
      </c>
      <c r="AA391" s="21">
        <v>0.33</v>
      </c>
      <c r="AB391" s="21">
        <v>0.28999999999999998</v>
      </c>
      <c r="AC391" s="21">
        <v>0.17</v>
      </c>
      <c r="AD391" s="21">
        <v>0.12</v>
      </c>
      <c r="AE391" s="21">
        <v>6.01</v>
      </c>
      <c r="AF391" s="21">
        <v>4.53</v>
      </c>
      <c r="AG391" s="21">
        <v>20.3</v>
      </c>
      <c r="AH391" s="18" t="s">
        <v>28</v>
      </c>
      <c r="AI391" s="13" t="str">
        <f>VLOOKUP(AH391,'Hess and Brezowsky'!$B$2:$G$31,2,FALSE)</f>
        <v>Zonal</v>
      </c>
      <c r="AJ391" s="18" t="str">
        <f>VLOOKUP(AH391,'Hess and Brezowsky'!$B$2:$G$31,3,FALSE)</f>
        <v>C</v>
      </c>
      <c r="AK391" s="13" t="str">
        <f>VLOOKUP(AH391,'Hess and Brezowsky'!$B$2:$G$31,4,FALSE)</f>
        <v>Cyclonic Westerly</v>
      </c>
      <c r="AL391" s="29">
        <v>0.16248842592592594</v>
      </c>
      <c r="AM391" s="29">
        <v>0.49724537037037037</v>
      </c>
      <c r="AN391" s="30">
        <v>0.83199074074074075</v>
      </c>
    </row>
    <row r="392" spans="1:40" ht="15.75" customHeight="1" x14ac:dyDescent="0.2">
      <c r="A392" s="27">
        <v>45112</v>
      </c>
      <c r="B392" s="13">
        <v>2023</v>
      </c>
      <c r="C392" s="13">
        <v>186</v>
      </c>
      <c r="D392" s="13">
        <f t="shared" si="17"/>
        <v>4</v>
      </c>
      <c r="E392" s="13"/>
      <c r="F392" s="13">
        <f t="shared" si="16"/>
        <v>4</v>
      </c>
      <c r="G392" s="14">
        <v>1</v>
      </c>
      <c r="H392" s="14">
        <v>0</v>
      </c>
      <c r="I392" s="14">
        <v>1</v>
      </c>
      <c r="J392" s="14">
        <v>1</v>
      </c>
      <c r="K392" s="14">
        <v>0</v>
      </c>
      <c r="L392" s="14">
        <v>1</v>
      </c>
      <c r="M392" s="15">
        <v>257.738</v>
      </c>
      <c r="N392" s="16" t="str">
        <f t="shared" si="18"/>
        <v>W</v>
      </c>
      <c r="O392" s="17">
        <v>7.3</v>
      </c>
      <c r="P392" s="16" t="s">
        <v>137</v>
      </c>
      <c r="Q392" s="18">
        <v>0</v>
      </c>
      <c r="R392" s="19">
        <v>17.09</v>
      </c>
      <c r="S392" s="19">
        <v>12.1</v>
      </c>
      <c r="T392" s="19">
        <v>21.9</v>
      </c>
      <c r="U392" s="20">
        <v>257.7</v>
      </c>
      <c r="V392" s="16" t="s">
        <v>16</v>
      </c>
      <c r="W392" s="21">
        <v>0</v>
      </c>
      <c r="X392" s="21">
        <v>0</v>
      </c>
      <c r="Y392" s="21">
        <v>0</v>
      </c>
      <c r="Z392" s="21">
        <v>0</v>
      </c>
      <c r="AA392" s="21">
        <v>0</v>
      </c>
      <c r="AB392" s="21">
        <v>0.33</v>
      </c>
      <c r="AC392" s="21">
        <v>0.5</v>
      </c>
      <c r="AD392" s="21">
        <v>0.17</v>
      </c>
      <c r="AE392" s="21">
        <v>7.71</v>
      </c>
      <c r="AF392" s="21">
        <v>7.3</v>
      </c>
      <c r="AG392" s="21">
        <v>16</v>
      </c>
      <c r="AH392" s="18" t="s">
        <v>28</v>
      </c>
      <c r="AI392" s="13" t="str">
        <f>VLOOKUP(AH392,'Hess and Brezowsky'!$B$2:$G$31,2,FALSE)</f>
        <v>Zonal</v>
      </c>
      <c r="AJ392" s="18" t="str">
        <f>VLOOKUP(AH392,'Hess and Brezowsky'!$B$2:$G$31,3,FALSE)</f>
        <v>C</v>
      </c>
      <c r="AK392" s="13" t="str">
        <f>VLOOKUP(AH392,'Hess and Brezowsky'!$B$2:$G$31,4,FALSE)</f>
        <v>Cyclonic Westerly</v>
      </c>
      <c r="AL392" s="29">
        <v>0.16299768518518518</v>
      </c>
      <c r="AM392" s="29">
        <v>0.49736111111111109</v>
      </c>
      <c r="AN392" s="30">
        <v>0.83172453703703708</v>
      </c>
    </row>
    <row r="393" spans="1:40" ht="15.75" customHeight="1" x14ac:dyDescent="0.2">
      <c r="A393" s="27">
        <v>45113</v>
      </c>
      <c r="B393" s="13">
        <v>2023</v>
      </c>
      <c r="C393" s="13">
        <v>187</v>
      </c>
      <c r="D393" s="13">
        <f t="shared" si="17"/>
        <v>5</v>
      </c>
      <c r="E393" s="13"/>
      <c r="F393" s="13">
        <f t="shared" si="16"/>
        <v>4</v>
      </c>
      <c r="G393" s="14">
        <v>0.95</v>
      </c>
      <c r="H393" s="14">
        <v>0</v>
      </c>
      <c r="I393" s="14">
        <v>1</v>
      </c>
      <c r="J393" s="14">
        <v>1</v>
      </c>
      <c r="K393" s="14">
        <v>0</v>
      </c>
      <c r="L393" s="14">
        <v>1</v>
      </c>
      <c r="M393" s="15">
        <v>119.121</v>
      </c>
      <c r="N393" s="16" t="str">
        <f t="shared" si="18"/>
        <v>SE</v>
      </c>
      <c r="O393" s="17">
        <v>3.6</v>
      </c>
      <c r="P393" s="16" t="s">
        <v>137</v>
      </c>
      <c r="Q393" s="18">
        <v>0</v>
      </c>
      <c r="R393" s="19">
        <v>20.99</v>
      </c>
      <c r="S393" s="19">
        <v>13.8</v>
      </c>
      <c r="T393" s="19">
        <v>27.3</v>
      </c>
      <c r="U393" s="20">
        <v>126.41</v>
      </c>
      <c r="V393" s="16" t="s">
        <v>11</v>
      </c>
      <c r="W393" s="21">
        <v>0.21</v>
      </c>
      <c r="X393" s="21">
        <v>0.04</v>
      </c>
      <c r="Y393" s="21">
        <v>0.04</v>
      </c>
      <c r="Z393" s="21">
        <v>0.42</v>
      </c>
      <c r="AA393" s="21">
        <v>0.25</v>
      </c>
      <c r="AB393" s="21">
        <v>0</v>
      </c>
      <c r="AC393" s="21">
        <v>0</v>
      </c>
      <c r="AD393" s="21">
        <v>0.04</v>
      </c>
      <c r="AE393" s="21">
        <v>3.23</v>
      </c>
      <c r="AF393" s="21">
        <v>2.14</v>
      </c>
      <c r="AG393" s="21">
        <v>10.9</v>
      </c>
      <c r="AH393" s="18" t="s">
        <v>12</v>
      </c>
      <c r="AI393" s="13" t="str">
        <f>VLOOKUP(AH393,'Hess and Brezowsky'!$B$2:$G$31,2,FALSE)</f>
        <v>Undefined</v>
      </c>
      <c r="AJ393" s="18" t="str">
        <f>VLOOKUP(AH393,'Hess and Brezowsky'!$B$2:$G$31,3,FALSE)</f>
        <v>M</v>
      </c>
      <c r="AK393" s="13" t="str">
        <f>VLOOKUP(AH393,'Hess and Brezowsky'!$B$2:$G$31,4,FALSE)</f>
        <v>Transistion / Undefined</v>
      </c>
      <c r="AL393" s="29">
        <v>0.16351851851851851</v>
      </c>
      <c r="AM393" s="29">
        <v>0.49747685185185186</v>
      </c>
      <c r="AN393" s="30">
        <v>0.83142361111111107</v>
      </c>
    </row>
    <row r="394" spans="1:40" ht="15.75" customHeight="1" x14ac:dyDescent="0.2">
      <c r="A394" s="27">
        <v>45114</v>
      </c>
      <c r="B394" s="13">
        <v>2023</v>
      </c>
      <c r="C394" s="13">
        <v>188</v>
      </c>
      <c r="D394" s="13">
        <f t="shared" si="17"/>
        <v>6</v>
      </c>
      <c r="E394" s="13"/>
      <c r="F394" s="13">
        <f t="shared" si="16"/>
        <v>4</v>
      </c>
      <c r="G394" s="14">
        <v>0.87</v>
      </c>
      <c r="H394" s="14">
        <v>0</v>
      </c>
      <c r="I394" s="14">
        <v>1</v>
      </c>
      <c r="J394" s="14">
        <v>1</v>
      </c>
      <c r="K394" s="14">
        <v>0</v>
      </c>
      <c r="L394" s="14">
        <v>1</v>
      </c>
      <c r="M394" s="15">
        <v>128.06399999999999</v>
      </c>
      <c r="N394" s="16" t="str">
        <f t="shared" si="18"/>
        <v>SE</v>
      </c>
      <c r="O394" s="17">
        <v>7.5</v>
      </c>
      <c r="P394" s="16" t="s">
        <v>137</v>
      </c>
      <c r="Q394" s="18">
        <v>0</v>
      </c>
      <c r="R394" s="19">
        <v>24.79</v>
      </c>
      <c r="S394" s="19">
        <v>16.600000000000001</v>
      </c>
      <c r="T394" s="19">
        <v>31.5</v>
      </c>
      <c r="U394" s="20">
        <v>133.31</v>
      </c>
      <c r="V394" s="16" t="s">
        <v>11</v>
      </c>
      <c r="W394" s="21">
        <v>0</v>
      </c>
      <c r="X394" s="21">
        <v>0</v>
      </c>
      <c r="Y394" s="21">
        <v>0</v>
      </c>
      <c r="Z394" s="21">
        <v>1</v>
      </c>
      <c r="AA394" s="21">
        <v>0</v>
      </c>
      <c r="AB394" s="21">
        <v>0</v>
      </c>
      <c r="AC394" s="21">
        <v>0</v>
      </c>
      <c r="AD394" s="21">
        <v>0</v>
      </c>
      <c r="AE394" s="21">
        <v>8.0500000000000007</v>
      </c>
      <c r="AF394" s="21">
        <v>7.96</v>
      </c>
      <c r="AG394" s="21">
        <v>11.6</v>
      </c>
      <c r="AH394" s="18" t="s">
        <v>35</v>
      </c>
      <c r="AI394" s="13" t="str">
        <f>VLOOKUP(AH394,'Hess and Brezowsky'!$B$2:$G$31,2,FALSE)</f>
        <v>Meridional</v>
      </c>
      <c r="AJ394" s="18" t="str">
        <f>VLOOKUP(AH394,'Hess and Brezowsky'!$B$2:$G$31,3,FALSE)</f>
        <v>A</v>
      </c>
      <c r="AK394" s="13" t="str">
        <f>VLOOKUP(AH394,'Hess and Brezowsky'!$B$2:$G$31,4,FALSE)</f>
        <v>Anticyclonic Southerly</v>
      </c>
      <c r="AL394" s="29">
        <v>0.16407407407407407</v>
      </c>
      <c r="AM394" s="29">
        <v>0.49758101851851849</v>
      </c>
      <c r="AN394" s="30">
        <v>0.83109953703703698</v>
      </c>
    </row>
    <row r="395" spans="1:40" ht="15.75" customHeight="1" x14ac:dyDescent="0.2">
      <c r="A395" s="27">
        <v>45115</v>
      </c>
      <c r="B395" s="13">
        <v>2023</v>
      </c>
      <c r="C395" s="13">
        <v>189</v>
      </c>
      <c r="D395" s="13">
        <f t="shared" si="17"/>
        <v>7</v>
      </c>
      <c r="E395" s="13"/>
      <c r="F395" s="13">
        <f t="shared" si="16"/>
        <v>4</v>
      </c>
      <c r="G395" s="14">
        <v>0.7</v>
      </c>
      <c r="H395" s="14">
        <v>0</v>
      </c>
      <c r="I395" s="14">
        <v>1</v>
      </c>
      <c r="J395" s="14">
        <v>1</v>
      </c>
      <c r="K395" s="14">
        <v>0</v>
      </c>
      <c r="L395" s="14">
        <v>1</v>
      </c>
      <c r="M395" s="15">
        <v>199.26400000000001</v>
      </c>
      <c r="N395" s="16" t="str">
        <f t="shared" si="18"/>
        <v>S</v>
      </c>
      <c r="O395" s="17">
        <v>6</v>
      </c>
      <c r="P395" s="16" t="s">
        <v>138</v>
      </c>
      <c r="Q395" s="18">
        <v>0</v>
      </c>
      <c r="R395" s="19">
        <v>27.53</v>
      </c>
      <c r="S395" s="19">
        <v>21.1</v>
      </c>
      <c r="T395" s="19">
        <v>34.200000000000003</v>
      </c>
      <c r="U395" s="20">
        <v>196.77</v>
      </c>
      <c r="V395" s="16" t="s">
        <v>13</v>
      </c>
      <c r="W395" s="21">
        <v>0</v>
      </c>
      <c r="X395" s="21">
        <v>0</v>
      </c>
      <c r="Y395" s="21">
        <v>0</v>
      </c>
      <c r="Z395" s="21">
        <v>0.08</v>
      </c>
      <c r="AA395" s="21">
        <v>0.54</v>
      </c>
      <c r="AB395" s="21">
        <v>0.25</v>
      </c>
      <c r="AC395" s="21">
        <v>0.08</v>
      </c>
      <c r="AD395" s="21">
        <v>0.04</v>
      </c>
      <c r="AE395" s="21">
        <v>5.78</v>
      </c>
      <c r="AF395" s="21">
        <v>4.12</v>
      </c>
      <c r="AG395" s="21">
        <v>14.8</v>
      </c>
      <c r="AH395" s="18" t="s">
        <v>35</v>
      </c>
      <c r="AI395" s="13" t="str">
        <f>VLOOKUP(AH395,'Hess and Brezowsky'!$B$2:$G$31,2,FALSE)</f>
        <v>Meridional</v>
      </c>
      <c r="AJ395" s="18" t="str">
        <f>VLOOKUP(AH395,'Hess and Brezowsky'!$B$2:$G$31,3,FALSE)</f>
        <v>A</v>
      </c>
      <c r="AK395" s="13" t="str">
        <f>VLOOKUP(AH395,'Hess and Brezowsky'!$B$2:$G$31,4,FALSE)</f>
        <v>Anticyclonic Southerly</v>
      </c>
      <c r="AL395" s="29">
        <v>0.16464120370370369</v>
      </c>
      <c r="AM395" s="29">
        <v>0.49768518518518517</v>
      </c>
      <c r="AN395" s="30">
        <v>0.83072916666666663</v>
      </c>
    </row>
    <row r="396" spans="1:40" ht="15.75" customHeight="1" x14ac:dyDescent="0.2">
      <c r="A396" s="27">
        <v>45116</v>
      </c>
      <c r="B396" s="13">
        <v>2023</v>
      </c>
      <c r="C396" s="13">
        <v>190</v>
      </c>
      <c r="D396" s="13">
        <f t="shared" si="17"/>
        <v>1</v>
      </c>
      <c r="E396" s="13"/>
      <c r="F396" s="13">
        <f t="shared" si="16"/>
        <v>4</v>
      </c>
      <c r="G396" s="14">
        <v>0.95</v>
      </c>
      <c r="H396" s="14">
        <v>0</v>
      </c>
      <c r="I396" s="14">
        <v>1</v>
      </c>
      <c r="J396" s="14">
        <v>1</v>
      </c>
      <c r="K396" s="14">
        <v>0</v>
      </c>
      <c r="L396" s="14">
        <v>1</v>
      </c>
      <c r="M396" s="15">
        <v>346.39499999999998</v>
      </c>
      <c r="N396" s="16" t="str">
        <f t="shared" si="18"/>
        <v>N</v>
      </c>
      <c r="O396" s="17">
        <v>5.4</v>
      </c>
      <c r="P396" s="16" t="s">
        <v>137</v>
      </c>
      <c r="Q396" s="18">
        <v>0.2</v>
      </c>
      <c r="R396" s="19">
        <v>23.98</v>
      </c>
      <c r="S396" s="19">
        <v>20.2</v>
      </c>
      <c r="T396" s="19">
        <v>28.3</v>
      </c>
      <c r="U396" s="20">
        <v>335.95</v>
      </c>
      <c r="V396" s="16" t="s">
        <v>6</v>
      </c>
      <c r="W396" s="21">
        <v>0.46</v>
      </c>
      <c r="X396" s="21">
        <v>0</v>
      </c>
      <c r="Y396" s="21">
        <v>0</v>
      </c>
      <c r="Z396" s="21">
        <v>0</v>
      </c>
      <c r="AA396" s="21">
        <v>0</v>
      </c>
      <c r="AB396" s="21">
        <v>0</v>
      </c>
      <c r="AC396" s="21">
        <v>0</v>
      </c>
      <c r="AD396" s="21">
        <v>0.54</v>
      </c>
      <c r="AE396" s="21">
        <v>5.09</v>
      </c>
      <c r="AF396" s="21">
        <v>4.75</v>
      </c>
      <c r="AG396" s="21">
        <v>9.8000000000000007</v>
      </c>
      <c r="AH396" s="18" t="s">
        <v>35</v>
      </c>
      <c r="AI396" s="13" t="str">
        <f>VLOOKUP(AH396,'Hess and Brezowsky'!$B$2:$G$31,2,FALSE)</f>
        <v>Meridional</v>
      </c>
      <c r="AJ396" s="18" t="str">
        <f>VLOOKUP(AH396,'Hess and Brezowsky'!$B$2:$G$31,3,FALSE)</f>
        <v>A</v>
      </c>
      <c r="AK396" s="13" t="str">
        <f>VLOOKUP(AH396,'Hess and Brezowsky'!$B$2:$G$31,4,FALSE)</f>
        <v>Anticyclonic Southerly</v>
      </c>
      <c r="AL396" s="29">
        <v>0.16524305555555555</v>
      </c>
      <c r="AM396" s="29">
        <v>0.49778935185185186</v>
      </c>
      <c r="AN396" s="30">
        <v>0.83034722222222224</v>
      </c>
    </row>
    <row r="397" spans="1:40" ht="15.75" customHeight="1" x14ac:dyDescent="0.2">
      <c r="A397" s="27">
        <v>45117</v>
      </c>
      <c r="B397" s="13">
        <v>2023</v>
      </c>
      <c r="C397" s="13">
        <v>191</v>
      </c>
      <c r="D397" s="13">
        <f t="shared" si="17"/>
        <v>2</v>
      </c>
      <c r="E397" s="13"/>
      <c r="F397" s="13">
        <f t="shared" si="16"/>
        <v>4</v>
      </c>
      <c r="G397" s="14">
        <v>0.91</v>
      </c>
      <c r="H397" s="14">
        <v>0</v>
      </c>
      <c r="I397" s="14">
        <v>1</v>
      </c>
      <c r="J397" s="14">
        <v>1</v>
      </c>
      <c r="K397" s="14">
        <v>0</v>
      </c>
      <c r="L397" s="14">
        <v>1</v>
      </c>
      <c r="M397" s="15">
        <v>239.869</v>
      </c>
      <c r="N397" s="16" t="str">
        <f t="shared" si="18"/>
        <v>SW</v>
      </c>
      <c r="O397" s="17">
        <v>3.9</v>
      </c>
      <c r="P397" s="16" t="s">
        <v>139</v>
      </c>
      <c r="Q397" s="18">
        <v>0</v>
      </c>
      <c r="R397" s="19">
        <v>23.98</v>
      </c>
      <c r="S397" s="19">
        <v>18.3</v>
      </c>
      <c r="T397" s="19">
        <v>29.5</v>
      </c>
      <c r="U397" s="20">
        <v>237.47</v>
      </c>
      <c r="V397" s="16" t="s">
        <v>5</v>
      </c>
      <c r="W397" s="21">
        <v>0</v>
      </c>
      <c r="X397" s="21">
        <v>0</v>
      </c>
      <c r="Y397" s="21">
        <v>0</v>
      </c>
      <c r="Z397" s="21">
        <v>0</v>
      </c>
      <c r="AA397" s="21">
        <v>0</v>
      </c>
      <c r="AB397" s="21">
        <v>0.62</v>
      </c>
      <c r="AC397" s="21">
        <v>0.33</v>
      </c>
      <c r="AD397" s="21">
        <v>0.04</v>
      </c>
      <c r="AE397" s="21">
        <v>2.85</v>
      </c>
      <c r="AF397" s="21">
        <v>2.6</v>
      </c>
      <c r="AG397" s="21">
        <v>5</v>
      </c>
      <c r="AH397" s="18" t="s">
        <v>35</v>
      </c>
      <c r="AI397" s="13" t="str">
        <f>VLOOKUP(AH397,'Hess and Brezowsky'!$B$2:$G$31,2,FALSE)</f>
        <v>Meridional</v>
      </c>
      <c r="AJ397" s="18" t="str">
        <f>VLOOKUP(AH397,'Hess and Brezowsky'!$B$2:$G$31,3,FALSE)</f>
        <v>A</v>
      </c>
      <c r="AK397" s="13" t="str">
        <f>VLOOKUP(AH397,'Hess and Brezowsky'!$B$2:$G$31,4,FALSE)</f>
        <v>Anticyclonic Southerly</v>
      </c>
      <c r="AL397" s="29">
        <v>0.16585648148148149</v>
      </c>
      <c r="AM397" s="29">
        <v>0.49789351851851854</v>
      </c>
      <c r="AN397" s="30">
        <v>0.82991898148148147</v>
      </c>
    </row>
    <row r="398" spans="1:40" ht="15.75" customHeight="1" x14ac:dyDescent="0.2">
      <c r="A398" s="27">
        <v>45118</v>
      </c>
      <c r="B398" s="13">
        <v>2023</v>
      </c>
      <c r="C398" s="13">
        <v>192</v>
      </c>
      <c r="D398" s="13">
        <f t="shared" si="17"/>
        <v>3</v>
      </c>
      <c r="E398" s="13"/>
      <c r="F398" s="13">
        <f t="shared" si="16"/>
        <v>4</v>
      </c>
      <c r="G398" s="14">
        <v>0.83</v>
      </c>
      <c r="H398" s="14">
        <v>0</v>
      </c>
      <c r="I398" s="14">
        <v>1</v>
      </c>
      <c r="J398" s="14">
        <v>1</v>
      </c>
      <c r="K398" s="14">
        <v>0</v>
      </c>
      <c r="L398" s="14">
        <v>1</v>
      </c>
      <c r="M398" s="15">
        <v>241.96</v>
      </c>
      <c r="N398" s="16" t="str">
        <f t="shared" si="18"/>
        <v>SW</v>
      </c>
      <c r="O398" s="17">
        <v>5.8</v>
      </c>
      <c r="P398" s="16" t="s">
        <v>138</v>
      </c>
      <c r="Q398" s="18">
        <v>0</v>
      </c>
      <c r="R398" s="19">
        <v>25.25</v>
      </c>
      <c r="S398" s="19">
        <v>17.899999999999999</v>
      </c>
      <c r="T398" s="19">
        <v>32</v>
      </c>
      <c r="U398" s="20">
        <v>242.35</v>
      </c>
      <c r="V398" s="16" t="s">
        <v>5</v>
      </c>
      <c r="W398" s="21">
        <v>0.04</v>
      </c>
      <c r="X398" s="21">
        <v>0</v>
      </c>
      <c r="Y398" s="21">
        <v>0</v>
      </c>
      <c r="Z398" s="21">
        <v>0</v>
      </c>
      <c r="AA398" s="21">
        <v>0</v>
      </c>
      <c r="AB398" s="21">
        <v>0.67</v>
      </c>
      <c r="AC398" s="21">
        <v>0.17</v>
      </c>
      <c r="AD398" s="21">
        <v>0.12</v>
      </c>
      <c r="AE398" s="21">
        <v>4.8899999999999997</v>
      </c>
      <c r="AF398" s="21">
        <v>4.3</v>
      </c>
      <c r="AG398" s="21">
        <v>11.2</v>
      </c>
      <c r="AH398" s="18" t="s">
        <v>35</v>
      </c>
      <c r="AI398" s="13" t="str">
        <f>VLOOKUP(AH398,'Hess and Brezowsky'!$B$2:$G$31,2,FALSE)</f>
        <v>Meridional</v>
      </c>
      <c r="AJ398" s="18" t="str">
        <f>VLOOKUP(AH398,'Hess and Brezowsky'!$B$2:$G$31,3,FALSE)</f>
        <v>A</v>
      </c>
      <c r="AK398" s="13" t="str">
        <f>VLOOKUP(AH398,'Hess and Brezowsky'!$B$2:$G$31,4,FALSE)</f>
        <v>Anticyclonic Southerly</v>
      </c>
      <c r="AL398" s="29">
        <v>0.16650462962962964</v>
      </c>
      <c r="AM398" s="29">
        <v>0.49798611111111113</v>
      </c>
      <c r="AN398" s="30">
        <v>0.82946759259259262</v>
      </c>
    </row>
    <row r="399" spans="1:40" ht="15.75" customHeight="1" x14ac:dyDescent="0.2">
      <c r="A399" s="27">
        <v>45119</v>
      </c>
      <c r="B399" s="13">
        <v>2023</v>
      </c>
      <c r="C399" s="13">
        <v>193</v>
      </c>
      <c r="D399" s="13">
        <f t="shared" si="17"/>
        <v>4</v>
      </c>
      <c r="E399" s="13"/>
      <c r="F399" s="13">
        <f t="shared" si="16"/>
        <v>4</v>
      </c>
      <c r="G399" s="14">
        <v>1</v>
      </c>
      <c r="H399" s="14">
        <v>0</v>
      </c>
      <c r="I399" s="14">
        <v>1</v>
      </c>
      <c r="J399" s="14">
        <v>1</v>
      </c>
      <c r="K399" s="14">
        <v>0</v>
      </c>
      <c r="L399" s="14">
        <v>1</v>
      </c>
      <c r="M399" s="15">
        <v>286.14400000000001</v>
      </c>
      <c r="N399" s="16" t="str">
        <f t="shared" si="18"/>
        <v>W</v>
      </c>
      <c r="O399" s="17">
        <v>6</v>
      </c>
      <c r="P399" s="16" t="s">
        <v>137</v>
      </c>
      <c r="Q399" s="18">
        <v>0</v>
      </c>
      <c r="R399" s="19">
        <v>21.08</v>
      </c>
      <c r="S399" s="19">
        <v>17.100000000000001</v>
      </c>
      <c r="T399" s="19">
        <v>25.3</v>
      </c>
      <c r="U399" s="20">
        <v>280.39</v>
      </c>
      <c r="V399" s="16" t="s">
        <v>16</v>
      </c>
      <c r="W399" s="21">
        <v>0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0.79</v>
      </c>
      <c r="AD399" s="21">
        <v>0.21</v>
      </c>
      <c r="AE399" s="21">
        <v>6.43</v>
      </c>
      <c r="AF399" s="21">
        <v>6.18</v>
      </c>
      <c r="AG399" s="21">
        <v>9.8000000000000007</v>
      </c>
      <c r="AH399" s="18" t="s">
        <v>4</v>
      </c>
      <c r="AI399" s="13" t="str">
        <f>VLOOKUP(AH399,'Hess and Brezowsky'!$B$2:$G$31,2,FALSE)</f>
        <v>Mixed</v>
      </c>
      <c r="AJ399" s="18" t="str">
        <f>VLOOKUP(AH399,'Hess and Brezowsky'!$B$2:$G$31,3,FALSE)</f>
        <v>A</v>
      </c>
      <c r="AK399" s="13" t="str">
        <f>VLOOKUP(AH399,'Hess and Brezowsky'!$B$2:$G$31,4,FALSE)</f>
        <v>Zonal Ridge across Central Europe</v>
      </c>
      <c r="AL399" s="29">
        <v>0.16716435185185186</v>
      </c>
      <c r="AM399" s="29">
        <v>0.49807870370370372</v>
      </c>
      <c r="AN399" s="30">
        <v>0.82899305555555558</v>
      </c>
    </row>
    <row r="400" spans="1:40" ht="15.75" customHeight="1" x14ac:dyDescent="0.2">
      <c r="A400" s="27">
        <v>45120</v>
      </c>
      <c r="B400" s="13">
        <v>2023</v>
      </c>
      <c r="C400" s="13">
        <v>194</v>
      </c>
      <c r="D400" s="13">
        <f t="shared" si="17"/>
        <v>5</v>
      </c>
      <c r="E400" s="13"/>
      <c r="F400" s="13">
        <f t="shared" si="16"/>
        <v>4</v>
      </c>
      <c r="G400" s="14">
        <v>1</v>
      </c>
      <c r="H400" s="14">
        <v>0</v>
      </c>
      <c r="I400" s="14">
        <v>1</v>
      </c>
      <c r="J400" s="14">
        <v>1</v>
      </c>
      <c r="K400" s="14">
        <v>0</v>
      </c>
      <c r="L400" s="14">
        <v>1</v>
      </c>
      <c r="M400" s="15">
        <v>280.39299999999997</v>
      </c>
      <c r="N400" s="16" t="str">
        <f t="shared" si="18"/>
        <v>W</v>
      </c>
      <c r="O400" s="17">
        <v>5.0999999999999996</v>
      </c>
      <c r="P400" s="16" t="s">
        <v>137</v>
      </c>
      <c r="Q400" s="18">
        <v>0</v>
      </c>
      <c r="R400" s="19">
        <v>20.350000000000001</v>
      </c>
      <c r="S400" s="19">
        <v>17</v>
      </c>
      <c r="T400" s="19">
        <v>24.2</v>
      </c>
      <c r="U400" s="20">
        <v>274.81</v>
      </c>
      <c r="V400" s="16" t="s">
        <v>16</v>
      </c>
      <c r="W400" s="21">
        <v>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0.79</v>
      </c>
      <c r="AD400" s="21">
        <v>0.21</v>
      </c>
      <c r="AE400" s="21">
        <v>5.44</v>
      </c>
      <c r="AF400" s="21">
        <v>5.18</v>
      </c>
      <c r="AG400" s="21">
        <v>8.4</v>
      </c>
      <c r="AH400" s="18" t="s">
        <v>4</v>
      </c>
      <c r="AI400" s="13" t="str">
        <f>VLOOKUP(AH400,'Hess and Brezowsky'!$B$2:$G$31,2,FALSE)</f>
        <v>Mixed</v>
      </c>
      <c r="AJ400" s="18" t="str">
        <f>VLOOKUP(AH400,'Hess and Brezowsky'!$B$2:$G$31,3,FALSE)</f>
        <v>A</v>
      </c>
      <c r="AK400" s="13" t="str">
        <f>VLOOKUP(AH400,'Hess and Brezowsky'!$B$2:$G$31,4,FALSE)</f>
        <v>Zonal Ridge across Central Europe</v>
      </c>
      <c r="AL400" s="29">
        <v>0.16784722222222223</v>
      </c>
      <c r="AM400" s="29">
        <v>0.49815972222222221</v>
      </c>
      <c r="AN400" s="30">
        <v>0.82848379629629632</v>
      </c>
    </row>
    <row r="401" spans="1:40" ht="15.75" customHeight="1" x14ac:dyDescent="0.2">
      <c r="A401" s="27">
        <v>45121</v>
      </c>
      <c r="B401" s="13">
        <v>2023</v>
      </c>
      <c r="C401" s="13">
        <v>195</v>
      </c>
      <c r="D401" s="13">
        <f t="shared" si="17"/>
        <v>6</v>
      </c>
      <c r="E401" s="13"/>
      <c r="F401" s="13">
        <f t="shared" si="16"/>
        <v>4</v>
      </c>
      <c r="G401" s="14">
        <v>1</v>
      </c>
      <c r="H401" s="14">
        <v>0</v>
      </c>
      <c r="I401" s="14">
        <v>1</v>
      </c>
      <c r="J401" s="14">
        <v>1</v>
      </c>
      <c r="K401" s="14">
        <v>0</v>
      </c>
      <c r="L401" s="14">
        <v>1</v>
      </c>
      <c r="M401" s="15">
        <v>185.042</v>
      </c>
      <c r="N401" s="16" t="str">
        <f t="shared" si="18"/>
        <v>S</v>
      </c>
      <c r="O401" s="17">
        <v>8.3000000000000007</v>
      </c>
      <c r="P401" s="16" t="s">
        <v>138</v>
      </c>
      <c r="Q401" s="18">
        <v>0</v>
      </c>
      <c r="R401" s="19">
        <v>24.68</v>
      </c>
      <c r="S401" s="19">
        <v>17.3</v>
      </c>
      <c r="T401" s="19">
        <v>31.8</v>
      </c>
      <c r="U401" s="20">
        <v>179.9</v>
      </c>
      <c r="V401" s="16" t="s">
        <v>13</v>
      </c>
      <c r="W401" s="21">
        <v>0.04</v>
      </c>
      <c r="X401" s="21">
        <v>0</v>
      </c>
      <c r="Y401" s="21">
        <v>0.04</v>
      </c>
      <c r="Z401" s="21">
        <v>0.21</v>
      </c>
      <c r="AA401" s="21">
        <v>0.5</v>
      </c>
      <c r="AB401" s="21">
        <v>0.21</v>
      </c>
      <c r="AC401" s="21">
        <v>0</v>
      </c>
      <c r="AD401" s="21">
        <v>0</v>
      </c>
      <c r="AE401" s="21">
        <v>7.87</v>
      </c>
      <c r="AF401" s="21">
        <v>6.77</v>
      </c>
      <c r="AG401" s="21">
        <v>11.8</v>
      </c>
      <c r="AH401" s="18" t="s">
        <v>4</v>
      </c>
      <c r="AI401" s="13" t="str">
        <f>VLOOKUP(AH401,'Hess and Brezowsky'!$B$2:$G$31,2,FALSE)</f>
        <v>Mixed</v>
      </c>
      <c r="AJ401" s="18" t="str">
        <f>VLOOKUP(AH401,'Hess and Brezowsky'!$B$2:$G$31,3,FALSE)</f>
        <v>A</v>
      </c>
      <c r="AK401" s="13" t="str">
        <f>VLOOKUP(AH401,'Hess and Brezowsky'!$B$2:$G$31,4,FALSE)</f>
        <v>Zonal Ridge across Central Europe</v>
      </c>
      <c r="AL401" s="29">
        <v>0.16854166666666667</v>
      </c>
      <c r="AM401" s="29">
        <v>0.49824074074074076</v>
      </c>
      <c r="AN401" s="30">
        <v>0.82793981481481482</v>
      </c>
    </row>
    <row r="402" spans="1:40" ht="15.75" customHeight="1" x14ac:dyDescent="0.2">
      <c r="A402" s="27">
        <v>45122</v>
      </c>
      <c r="B402" s="13">
        <v>2023</v>
      </c>
      <c r="C402" s="13">
        <v>196</v>
      </c>
      <c r="D402" s="13">
        <f t="shared" si="17"/>
        <v>7</v>
      </c>
      <c r="E402" s="13"/>
      <c r="F402" s="13">
        <f t="shared" si="16"/>
        <v>4</v>
      </c>
      <c r="G402" s="14">
        <v>1</v>
      </c>
      <c r="H402" s="14">
        <v>0</v>
      </c>
      <c r="I402" s="14">
        <v>1</v>
      </c>
      <c r="J402" s="14">
        <v>1</v>
      </c>
      <c r="K402" s="14">
        <v>0</v>
      </c>
      <c r="L402" s="14">
        <v>1</v>
      </c>
      <c r="M402" s="15">
        <v>223.9</v>
      </c>
      <c r="N402" s="16" t="str">
        <f t="shared" si="18"/>
        <v>SW</v>
      </c>
      <c r="O402" s="17">
        <v>10.4</v>
      </c>
      <c r="P402" s="16" t="s">
        <v>137</v>
      </c>
      <c r="Q402" s="18">
        <v>3.3</v>
      </c>
      <c r="R402" s="19">
        <v>22.23</v>
      </c>
      <c r="S402" s="19">
        <v>17.899999999999999</v>
      </c>
      <c r="T402" s="19">
        <v>25.5</v>
      </c>
      <c r="U402" s="20">
        <v>224.77</v>
      </c>
      <c r="V402" s="16" t="s">
        <v>5</v>
      </c>
      <c r="W402" s="21">
        <v>0</v>
      </c>
      <c r="X402" s="21">
        <v>0</v>
      </c>
      <c r="Y402" s="21">
        <v>0</v>
      </c>
      <c r="Z402" s="21">
        <v>0</v>
      </c>
      <c r="AA402" s="21">
        <v>0.17</v>
      </c>
      <c r="AB402" s="21">
        <v>0.83</v>
      </c>
      <c r="AC402" s="21">
        <v>0</v>
      </c>
      <c r="AD402" s="21">
        <v>0</v>
      </c>
      <c r="AE402" s="21">
        <v>9.76</v>
      </c>
      <c r="AF402" s="21">
        <v>9.4499999999999993</v>
      </c>
      <c r="AG402" s="21">
        <v>16.5</v>
      </c>
      <c r="AH402" s="18" t="s">
        <v>12</v>
      </c>
      <c r="AI402" s="13" t="str">
        <f>VLOOKUP(AH402,'Hess and Brezowsky'!$B$2:$G$31,2,FALSE)</f>
        <v>Undefined</v>
      </c>
      <c r="AJ402" s="18" t="str">
        <f>VLOOKUP(AH402,'Hess and Brezowsky'!$B$2:$G$31,3,FALSE)</f>
        <v>M</v>
      </c>
      <c r="AK402" s="13" t="str">
        <f>VLOOKUP(AH402,'Hess and Brezowsky'!$B$2:$G$31,4,FALSE)</f>
        <v>Transistion / Undefined</v>
      </c>
      <c r="AL402" s="29">
        <v>0.16925925925925925</v>
      </c>
      <c r="AM402" s="29">
        <v>0.49832175925925926</v>
      </c>
      <c r="AN402" s="30">
        <v>0.82737268518518514</v>
      </c>
    </row>
    <row r="403" spans="1:40" ht="15.75" customHeight="1" x14ac:dyDescent="0.2">
      <c r="A403" s="27">
        <v>45123</v>
      </c>
      <c r="B403" s="13">
        <v>2023</v>
      </c>
      <c r="C403" s="13">
        <v>197</v>
      </c>
      <c r="D403" s="13">
        <f t="shared" si="17"/>
        <v>1</v>
      </c>
      <c r="E403" s="13"/>
      <c r="F403" s="13">
        <f t="shared" si="16"/>
        <v>4</v>
      </c>
      <c r="G403" s="14">
        <v>1</v>
      </c>
      <c r="H403" s="14">
        <v>0</v>
      </c>
      <c r="I403" s="14">
        <v>1</v>
      </c>
      <c r="J403" s="14">
        <v>1</v>
      </c>
      <c r="K403" s="14">
        <v>0</v>
      </c>
      <c r="L403" s="14">
        <v>1</v>
      </c>
      <c r="M403" s="15">
        <v>233.4</v>
      </c>
      <c r="N403" s="16" t="str">
        <f t="shared" si="18"/>
        <v>SW</v>
      </c>
      <c r="O403" s="17">
        <v>8.6</v>
      </c>
      <c r="P403" s="16" t="s">
        <v>137</v>
      </c>
      <c r="Q403" s="18">
        <v>0</v>
      </c>
      <c r="R403" s="19">
        <v>20.28</v>
      </c>
      <c r="S403" s="19">
        <v>14.8</v>
      </c>
      <c r="T403" s="19">
        <v>25.6</v>
      </c>
      <c r="U403" s="20">
        <v>231.5</v>
      </c>
      <c r="V403" s="16" t="s">
        <v>5</v>
      </c>
      <c r="W403" s="21">
        <v>0</v>
      </c>
      <c r="X403" s="21">
        <v>0</v>
      </c>
      <c r="Y403" s="21">
        <v>0</v>
      </c>
      <c r="Z403" s="21">
        <v>0</v>
      </c>
      <c r="AA403" s="21">
        <v>0</v>
      </c>
      <c r="AB403" s="21">
        <v>0.79</v>
      </c>
      <c r="AC403" s="21">
        <v>0.08</v>
      </c>
      <c r="AD403" s="21">
        <v>0.12</v>
      </c>
      <c r="AE403" s="21">
        <v>7.14</v>
      </c>
      <c r="AF403" s="21">
        <v>6.45</v>
      </c>
      <c r="AG403" s="21">
        <v>11.2</v>
      </c>
      <c r="AH403" s="18" t="s">
        <v>4</v>
      </c>
      <c r="AI403" s="13" t="str">
        <f>VLOOKUP(AH403,'Hess and Brezowsky'!$B$2:$G$31,2,FALSE)</f>
        <v>Mixed</v>
      </c>
      <c r="AJ403" s="18" t="str">
        <f>VLOOKUP(AH403,'Hess and Brezowsky'!$B$2:$G$31,3,FALSE)</f>
        <v>A</v>
      </c>
      <c r="AK403" s="13" t="str">
        <f>VLOOKUP(AH403,'Hess and Brezowsky'!$B$2:$G$31,4,FALSE)</f>
        <v>Zonal Ridge across Central Europe</v>
      </c>
      <c r="AL403" s="29">
        <v>0.17</v>
      </c>
      <c r="AM403" s="29">
        <v>0.49839120370370371</v>
      </c>
      <c r="AN403" s="30">
        <v>0.82678240740740738</v>
      </c>
    </row>
    <row r="404" spans="1:40" ht="15.75" customHeight="1" x14ac:dyDescent="0.2">
      <c r="A404" s="27">
        <v>45124</v>
      </c>
      <c r="B404" s="13">
        <v>2023</v>
      </c>
      <c r="C404" s="13">
        <v>198</v>
      </c>
      <c r="D404" s="13">
        <f t="shared" si="17"/>
        <v>2</v>
      </c>
      <c r="E404" s="13"/>
      <c r="F404" s="13">
        <f t="shared" si="16"/>
        <v>4</v>
      </c>
      <c r="G404" s="14">
        <v>1</v>
      </c>
      <c r="H404" s="14">
        <v>0</v>
      </c>
      <c r="I404" s="14">
        <v>1</v>
      </c>
      <c r="J404" s="14">
        <v>1</v>
      </c>
      <c r="K404" s="14">
        <v>0</v>
      </c>
      <c r="L404" s="14">
        <v>1</v>
      </c>
      <c r="M404" s="15">
        <v>280.67399999999998</v>
      </c>
      <c r="N404" s="16" t="str">
        <f t="shared" si="18"/>
        <v>W</v>
      </c>
      <c r="O404" s="17">
        <v>5.0999999999999996</v>
      </c>
      <c r="P404" s="16" t="s">
        <v>137</v>
      </c>
      <c r="Q404" s="18">
        <v>0</v>
      </c>
      <c r="R404" s="19">
        <v>20.21</v>
      </c>
      <c r="S404" s="19">
        <v>14</v>
      </c>
      <c r="T404" s="19">
        <v>25.4</v>
      </c>
      <c r="U404" s="20">
        <v>273.5</v>
      </c>
      <c r="V404" s="16" t="s">
        <v>16</v>
      </c>
      <c r="W404" s="21">
        <v>0.08</v>
      </c>
      <c r="X404" s="21">
        <v>0.08</v>
      </c>
      <c r="Y404" s="21">
        <v>0</v>
      </c>
      <c r="Z404" s="21">
        <v>0</v>
      </c>
      <c r="AA404" s="21">
        <v>0</v>
      </c>
      <c r="AB404" s="21">
        <v>0.21</v>
      </c>
      <c r="AC404" s="21">
        <v>0.57999999999999996</v>
      </c>
      <c r="AD404" s="21">
        <v>0.04</v>
      </c>
      <c r="AE404" s="21">
        <v>5.1100000000000003</v>
      </c>
      <c r="AF404" s="21">
        <v>3.6</v>
      </c>
      <c r="AG404" s="21">
        <v>9.5</v>
      </c>
      <c r="AH404" s="18" t="s">
        <v>4</v>
      </c>
      <c r="AI404" s="13" t="str">
        <f>VLOOKUP(AH404,'Hess and Brezowsky'!$B$2:$G$31,2,FALSE)</f>
        <v>Mixed</v>
      </c>
      <c r="AJ404" s="18" t="str">
        <f>VLOOKUP(AH404,'Hess and Brezowsky'!$B$2:$G$31,3,FALSE)</f>
        <v>A</v>
      </c>
      <c r="AK404" s="13" t="str">
        <f>VLOOKUP(AH404,'Hess and Brezowsky'!$B$2:$G$31,4,FALSE)</f>
        <v>Zonal Ridge across Central Europe</v>
      </c>
      <c r="AL404" s="29">
        <v>0.17075231481481482</v>
      </c>
      <c r="AM404" s="29">
        <v>0.49846064814814817</v>
      </c>
      <c r="AN404" s="30">
        <v>0.8261574074074074</v>
      </c>
    </row>
    <row r="405" spans="1:40" ht="15.75" customHeight="1" x14ac:dyDescent="0.2">
      <c r="A405" s="27">
        <v>45125</v>
      </c>
      <c r="B405" s="13">
        <v>2023</v>
      </c>
      <c r="C405" s="13">
        <v>199</v>
      </c>
      <c r="D405" s="13">
        <f t="shared" si="17"/>
        <v>3</v>
      </c>
      <c r="E405" s="13"/>
      <c r="F405" s="13">
        <f t="shared" si="16"/>
        <v>4</v>
      </c>
      <c r="G405" s="14">
        <v>0.83</v>
      </c>
      <c r="H405" s="14">
        <v>0</v>
      </c>
      <c r="I405" s="14">
        <v>1</v>
      </c>
      <c r="J405" s="14">
        <v>1</v>
      </c>
      <c r="K405" s="14">
        <v>0</v>
      </c>
      <c r="L405" s="14">
        <v>1</v>
      </c>
      <c r="M405" s="15">
        <v>43.295999999999999</v>
      </c>
      <c r="N405" s="16" t="str">
        <f t="shared" si="18"/>
        <v>NE</v>
      </c>
      <c r="O405" s="17">
        <v>4.0999999999999996</v>
      </c>
      <c r="P405" s="16" t="s">
        <v>138</v>
      </c>
      <c r="Q405" s="18">
        <v>0</v>
      </c>
      <c r="R405" s="19">
        <v>23.22</v>
      </c>
      <c r="S405" s="19">
        <v>15.9</v>
      </c>
      <c r="T405" s="19">
        <v>29.6</v>
      </c>
      <c r="U405" s="20">
        <v>48.13</v>
      </c>
      <c r="V405" s="16" t="s">
        <v>10</v>
      </c>
      <c r="W405" s="21">
        <v>0.17</v>
      </c>
      <c r="X405" s="21">
        <v>0.25</v>
      </c>
      <c r="Y405" s="21">
        <v>0.33</v>
      </c>
      <c r="Z405" s="21">
        <v>0</v>
      </c>
      <c r="AA405" s="21">
        <v>0</v>
      </c>
      <c r="AB405" s="21">
        <v>0.04</v>
      </c>
      <c r="AC405" s="21">
        <v>0.08</v>
      </c>
      <c r="AD405" s="21">
        <v>0.12</v>
      </c>
      <c r="AE405" s="21">
        <v>3.74</v>
      </c>
      <c r="AF405" s="21">
        <v>2.62</v>
      </c>
      <c r="AG405" s="21">
        <v>8.6</v>
      </c>
      <c r="AH405" s="18" t="s">
        <v>4</v>
      </c>
      <c r="AI405" s="13" t="str">
        <f>VLOOKUP(AH405,'Hess and Brezowsky'!$B$2:$G$31,2,FALSE)</f>
        <v>Mixed</v>
      </c>
      <c r="AJ405" s="18" t="str">
        <f>VLOOKUP(AH405,'Hess and Brezowsky'!$B$2:$G$31,3,FALSE)</f>
        <v>A</v>
      </c>
      <c r="AK405" s="13" t="str">
        <f>VLOOKUP(AH405,'Hess and Brezowsky'!$B$2:$G$31,4,FALSE)</f>
        <v>Zonal Ridge across Central Europe</v>
      </c>
      <c r="AL405" s="29">
        <v>0.17151620370370371</v>
      </c>
      <c r="AM405" s="29">
        <v>0.49851851851851853</v>
      </c>
      <c r="AN405" s="30">
        <v>0.82550925925925922</v>
      </c>
    </row>
    <row r="406" spans="1:40" ht="15.75" customHeight="1" x14ac:dyDescent="0.2">
      <c r="A406" s="27">
        <v>45126</v>
      </c>
      <c r="B406" s="13">
        <v>2023</v>
      </c>
      <c r="C406" s="13">
        <v>200</v>
      </c>
      <c r="D406" s="13">
        <f t="shared" si="17"/>
        <v>4</v>
      </c>
      <c r="E406" s="13"/>
      <c r="F406" s="13">
        <f t="shared" si="16"/>
        <v>4</v>
      </c>
      <c r="G406" s="14">
        <v>1</v>
      </c>
      <c r="H406" s="14">
        <v>0</v>
      </c>
      <c r="I406" s="14">
        <v>1</v>
      </c>
      <c r="J406" s="14">
        <v>1</v>
      </c>
      <c r="K406" s="14">
        <v>0</v>
      </c>
      <c r="L406" s="14">
        <v>1</v>
      </c>
      <c r="M406" s="15">
        <v>302.21499999999997</v>
      </c>
      <c r="N406" s="16" t="str">
        <f t="shared" si="18"/>
        <v>NW</v>
      </c>
      <c r="O406" s="17">
        <v>7.5</v>
      </c>
      <c r="P406" s="16" t="s">
        <v>137</v>
      </c>
      <c r="Q406" s="18">
        <v>0</v>
      </c>
      <c r="R406" s="19">
        <v>20.77</v>
      </c>
      <c r="S406" s="19">
        <v>17.3</v>
      </c>
      <c r="T406" s="19">
        <v>23.9</v>
      </c>
      <c r="U406" s="20">
        <v>294.57</v>
      </c>
      <c r="V406" s="16" t="s">
        <v>6</v>
      </c>
      <c r="W406" s="21">
        <v>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0.46</v>
      </c>
      <c r="AD406" s="21">
        <v>0.54</v>
      </c>
      <c r="AE406" s="21">
        <v>8.1199999999999992</v>
      </c>
      <c r="AF406" s="21">
        <v>7.7</v>
      </c>
      <c r="AG406" s="21">
        <v>11.7</v>
      </c>
      <c r="AH406" s="18" t="s">
        <v>44</v>
      </c>
      <c r="AI406" s="13" t="str">
        <f>VLOOKUP(AH406,'Hess and Brezowsky'!$B$2:$G$31,2,FALSE)</f>
        <v>Mixed</v>
      </c>
      <c r="AJ406" s="18" t="str">
        <f>VLOOKUP(AH406,'Hess and Brezowsky'!$B$2:$G$31,3,FALSE)</f>
        <v>A</v>
      </c>
      <c r="AK406" s="13" t="str">
        <f>VLOOKUP(AH406,'Hess and Brezowsky'!$B$2:$G$31,4,FALSE)</f>
        <v>Anticyclonic North-Westerly</v>
      </c>
      <c r="AL406" s="29">
        <v>0.17230324074074074</v>
      </c>
      <c r="AM406" s="29">
        <v>0.49856481481481479</v>
      </c>
      <c r="AN406" s="30">
        <v>0.82483796296296297</v>
      </c>
    </row>
    <row r="407" spans="1:40" ht="15.75" customHeight="1" x14ac:dyDescent="0.2">
      <c r="A407" s="27">
        <v>45127</v>
      </c>
      <c r="B407" s="13">
        <v>2023</v>
      </c>
      <c r="C407" s="13">
        <v>201</v>
      </c>
      <c r="D407" s="13">
        <f t="shared" si="17"/>
        <v>5</v>
      </c>
      <c r="E407" s="13"/>
      <c r="F407" s="13">
        <f t="shared" si="16"/>
        <v>4</v>
      </c>
      <c r="G407" s="14">
        <v>1</v>
      </c>
      <c r="H407" s="14">
        <v>0</v>
      </c>
      <c r="I407" s="14">
        <v>1</v>
      </c>
      <c r="J407" s="14">
        <v>1</v>
      </c>
      <c r="K407" s="14">
        <v>0</v>
      </c>
      <c r="L407" s="14">
        <v>1</v>
      </c>
      <c r="M407" s="15">
        <v>317.334</v>
      </c>
      <c r="N407" s="16" t="str">
        <f t="shared" si="18"/>
        <v>NW</v>
      </c>
      <c r="O407" s="17">
        <v>3.7</v>
      </c>
      <c r="P407" s="16" t="s">
        <v>137</v>
      </c>
      <c r="Q407" s="18">
        <v>0</v>
      </c>
      <c r="R407" s="19">
        <v>20.76</v>
      </c>
      <c r="S407" s="19">
        <v>15.4</v>
      </c>
      <c r="T407" s="19">
        <v>25.7</v>
      </c>
      <c r="U407" s="20">
        <v>312.12</v>
      </c>
      <c r="V407" s="16" t="s">
        <v>6</v>
      </c>
      <c r="W407" s="21">
        <v>0.25</v>
      </c>
      <c r="X407" s="21">
        <v>0</v>
      </c>
      <c r="Y407" s="21">
        <v>0</v>
      </c>
      <c r="Z407" s="21">
        <v>0</v>
      </c>
      <c r="AA407" s="21">
        <v>0</v>
      </c>
      <c r="AB407" s="21">
        <v>0.04</v>
      </c>
      <c r="AC407" s="21">
        <v>0.42</v>
      </c>
      <c r="AD407" s="21">
        <v>0.28999999999999998</v>
      </c>
      <c r="AE407" s="21">
        <v>3.06</v>
      </c>
      <c r="AF407" s="21">
        <v>2.52</v>
      </c>
      <c r="AG407" s="21">
        <v>8.1</v>
      </c>
      <c r="AH407" s="18" t="s">
        <v>44</v>
      </c>
      <c r="AI407" s="13" t="str">
        <f>VLOOKUP(AH407,'Hess and Brezowsky'!$B$2:$G$31,2,FALSE)</f>
        <v>Mixed</v>
      </c>
      <c r="AJ407" s="18" t="str">
        <f>VLOOKUP(AH407,'Hess and Brezowsky'!$B$2:$G$31,3,FALSE)</f>
        <v>A</v>
      </c>
      <c r="AK407" s="13" t="str">
        <f>VLOOKUP(AH407,'Hess and Brezowsky'!$B$2:$G$31,4,FALSE)</f>
        <v>Anticyclonic North-Westerly</v>
      </c>
      <c r="AL407" s="29">
        <v>0.17310185185185184</v>
      </c>
      <c r="AM407" s="29">
        <v>0.49862268518518521</v>
      </c>
      <c r="AN407" s="30">
        <v>0.82413194444444449</v>
      </c>
    </row>
    <row r="408" spans="1:40" ht="15.75" customHeight="1" x14ac:dyDescent="0.2">
      <c r="A408" s="27">
        <v>45128</v>
      </c>
      <c r="B408" s="13">
        <v>2023</v>
      </c>
      <c r="C408" s="13">
        <v>202</v>
      </c>
      <c r="D408" s="13">
        <f t="shared" si="17"/>
        <v>6</v>
      </c>
      <c r="E408" s="13"/>
      <c r="F408" s="13">
        <f t="shared" si="16"/>
        <v>4</v>
      </c>
      <c r="G408" s="14">
        <v>1</v>
      </c>
      <c r="H408" s="14">
        <v>0</v>
      </c>
      <c r="I408" s="14">
        <v>1</v>
      </c>
      <c r="J408" s="14">
        <v>1</v>
      </c>
      <c r="K408" s="14">
        <v>0</v>
      </c>
      <c r="L408" s="14">
        <v>1</v>
      </c>
      <c r="M408" s="15">
        <v>307.67599999999999</v>
      </c>
      <c r="N408" s="16" t="str">
        <f t="shared" si="18"/>
        <v>NW</v>
      </c>
      <c r="O408" s="17">
        <v>5.5</v>
      </c>
      <c r="P408" s="16" t="s">
        <v>137</v>
      </c>
      <c r="Q408" s="18">
        <v>0</v>
      </c>
      <c r="R408" s="19">
        <v>19.86</v>
      </c>
      <c r="S408" s="19">
        <v>15.7</v>
      </c>
      <c r="T408" s="19">
        <v>24.3</v>
      </c>
      <c r="U408" s="20">
        <v>298.95999999999998</v>
      </c>
      <c r="V408" s="16" t="s">
        <v>6</v>
      </c>
      <c r="W408" s="21">
        <v>0.04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0.38</v>
      </c>
      <c r="AD408" s="21">
        <v>0.57999999999999996</v>
      </c>
      <c r="AE408" s="21">
        <v>5.69</v>
      </c>
      <c r="AF408" s="21">
        <v>5.47</v>
      </c>
      <c r="AG408" s="21">
        <v>9.6</v>
      </c>
      <c r="AH408" s="18" t="s">
        <v>44</v>
      </c>
      <c r="AI408" s="13" t="str">
        <f>VLOOKUP(AH408,'Hess and Brezowsky'!$B$2:$G$31,2,FALSE)</f>
        <v>Mixed</v>
      </c>
      <c r="AJ408" s="18" t="str">
        <f>VLOOKUP(AH408,'Hess and Brezowsky'!$B$2:$G$31,3,FALSE)</f>
        <v>A</v>
      </c>
      <c r="AK408" s="13" t="str">
        <f>VLOOKUP(AH408,'Hess and Brezowsky'!$B$2:$G$31,4,FALSE)</f>
        <v>Anticyclonic North-Westerly</v>
      </c>
      <c r="AL408" s="29">
        <v>0.1739236111111111</v>
      </c>
      <c r="AM408" s="29">
        <v>0.49865740740740738</v>
      </c>
      <c r="AN408" s="30">
        <v>0.82340277777777782</v>
      </c>
    </row>
    <row r="409" spans="1:40" ht="15.75" customHeight="1" x14ac:dyDescent="0.2">
      <c r="A409" s="27">
        <v>45129</v>
      </c>
      <c r="B409" s="13">
        <v>2023</v>
      </c>
      <c r="C409" s="13">
        <v>203</v>
      </c>
      <c r="D409" s="13">
        <f t="shared" si="17"/>
        <v>7</v>
      </c>
      <c r="E409" s="13"/>
      <c r="F409" s="13">
        <f t="shared" si="16"/>
        <v>4</v>
      </c>
      <c r="G409" s="14">
        <v>1</v>
      </c>
      <c r="H409" s="14">
        <v>0</v>
      </c>
      <c r="I409" s="14">
        <v>1</v>
      </c>
      <c r="J409" s="14">
        <v>1</v>
      </c>
      <c r="K409" s="14">
        <v>0</v>
      </c>
      <c r="L409" s="14">
        <v>1</v>
      </c>
      <c r="M409" s="15">
        <v>243.45400000000001</v>
      </c>
      <c r="N409" s="16" t="str">
        <f t="shared" si="18"/>
        <v>SW</v>
      </c>
      <c r="O409" s="17">
        <v>6.6</v>
      </c>
      <c r="P409" s="16" t="s">
        <v>137</v>
      </c>
      <c r="Q409" s="18">
        <v>0</v>
      </c>
      <c r="R409" s="19">
        <v>20.399999999999999</v>
      </c>
      <c r="S409" s="19">
        <v>14.2</v>
      </c>
      <c r="T409" s="19">
        <v>26.3</v>
      </c>
      <c r="U409" s="20">
        <v>243.36</v>
      </c>
      <c r="V409" s="16" t="s">
        <v>5</v>
      </c>
      <c r="W409" s="21">
        <v>0</v>
      </c>
      <c r="X409" s="21">
        <v>0</v>
      </c>
      <c r="Y409" s="21">
        <v>0</v>
      </c>
      <c r="Z409" s="21">
        <v>0</v>
      </c>
      <c r="AA409" s="21">
        <v>0</v>
      </c>
      <c r="AB409" s="21">
        <v>0.67</v>
      </c>
      <c r="AC409" s="21">
        <v>0.21</v>
      </c>
      <c r="AD409" s="21">
        <v>0.12</v>
      </c>
      <c r="AE409" s="21">
        <v>5.84</v>
      </c>
      <c r="AF409" s="21">
        <v>5.43</v>
      </c>
      <c r="AG409" s="21">
        <v>10.6</v>
      </c>
      <c r="AH409" s="18" t="s">
        <v>28</v>
      </c>
      <c r="AI409" s="13" t="str">
        <f>VLOOKUP(AH409,'Hess and Brezowsky'!$B$2:$G$31,2,FALSE)</f>
        <v>Zonal</v>
      </c>
      <c r="AJ409" s="18" t="str">
        <f>VLOOKUP(AH409,'Hess and Brezowsky'!$B$2:$G$31,3,FALSE)</f>
        <v>C</v>
      </c>
      <c r="AK409" s="13" t="str">
        <f>VLOOKUP(AH409,'Hess and Brezowsky'!$B$2:$G$31,4,FALSE)</f>
        <v>Cyclonic Westerly</v>
      </c>
      <c r="AL409" s="29">
        <v>0.17474537037037038</v>
      </c>
      <c r="AM409" s="29">
        <v>0.4987037037037037</v>
      </c>
      <c r="AN409" s="30">
        <v>0.82265046296296296</v>
      </c>
    </row>
    <row r="410" spans="1:40" ht="15.75" customHeight="1" x14ac:dyDescent="0.2">
      <c r="A410" s="27">
        <v>45130</v>
      </c>
      <c r="B410" s="13">
        <v>2023</v>
      </c>
      <c r="C410" s="13">
        <v>204</v>
      </c>
      <c r="D410" s="13">
        <f t="shared" si="17"/>
        <v>1</v>
      </c>
      <c r="E410" s="13"/>
      <c r="F410" s="13">
        <f t="shared" si="16"/>
        <v>4</v>
      </c>
      <c r="G410" s="14">
        <v>1</v>
      </c>
      <c r="H410" s="14">
        <v>0</v>
      </c>
      <c r="I410" s="14">
        <v>1</v>
      </c>
      <c r="J410" s="14">
        <v>1</v>
      </c>
      <c r="K410" s="14">
        <v>0</v>
      </c>
      <c r="L410" s="14">
        <v>1</v>
      </c>
      <c r="M410" s="15">
        <v>222.85599999999999</v>
      </c>
      <c r="N410" s="16" t="str">
        <f t="shared" si="18"/>
        <v>SW</v>
      </c>
      <c r="O410" s="17">
        <v>10.6</v>
      </c>
      <c r="P410" s="16" t="s">
        <v>140</v>
      </c>
      <c r="Q410" s="18">
        <v>0.6</v>
      </c>
      <c r="R410" s="19">
        <v>20.74</v>
      </c>
      <c r="S410" s="19">
        <v>17.600000000000001</v>
      </c>
      <c r="T410" s="19">
        <v>25</v>
      </c>
      <c r="U410" s="20">
        <v>220.47</v>
      </c>
      <c r="V410" s="16" t="s">
        <v>5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1</v>
      </c>
      <c r="AC410" s="21">
        <v>0</v>
      </c>
      <c r="AD410" s="21">
        <v>0</v>
      </c>
      <c r="AE410" s="21">
        <v>8.8000000000000007</v>
      </c>
      <c r="AF410" s="21">
        <v>8.67</v>
      </c>
      <c r="AG410" s="21">
        <v>16.2</v>
      </c>
      <c r="AH410" s="18" t="s">
        <v>28</v>
      </c>
      <c r="AI410" s="13" t="str">
        <f>VLOOKUP(AH410,'Hess and Brezowsky'!$B$2:$G$31,2,FALSE)</f>
        <v>Zonal</v>
      </c>
      <c r="AJ410" s="18" t="str">
        <f>VLOOKUP(AH410,'Hess and Brezowsky'!$B$2:$G$31,3,FALSE)</f>
        <v>C</v>
      </c>
      <c r="AK410" s="13" t="str">
        <f>VLOOKUP(AH410,'Hess and Brezowsky'!$B$2:$G$31,4,FALSE)</f>
        <v>Cyclonic Westerly</v>
      </c>
      <c r="AL410" s="29">
        <v>0.17559027777777778</v>
      </c>
      <c r="AM410" s="29">
        <v>0.49872685185185184</v>
      </c>
      <c r="AN410" s="30">
        <v>0.82187500000000002</v>
      </c>
    </row>
    <row r="411" spans="1:40" ht="15.75" customHeight="1" x14ac:dyDescent="0.2">
      <c r="A411" s="27">
        <v>45131</v>
      </c>
      <c r="B411" s="13">
        <v>2023</v>
      </c>
      <c r="C411" s="13">
        <v>205</v>
      </c>
      <c r="D411" s="13">
        <f t="shared" si="17"/>
        <v>2</v>
      </c>
      <c r="E411" s="13"/>
      <c r="F411" s="13">
        <f t="shared" si="16"/>
        <v>4</v>
      </c>
      <c r="G411" s="14">
        <v>1</v>
      </c>
      <c r="H411" s="14">
        <v>0</v>
      </c>
      <c r="I411" s="14">
        <v>1</v>
      </c>
      <c r="J411" s="14">
        <v>1</v>
      </c>
      <c r="K411" s="14">
        <v>0</v>
      </c>
      <c r="L411" s="14">
        <v>0.95</v>
      </c>
      <c r="M411" s="15">
        <v>247.88399999999999</v>
      </c>
      <c r="N411" s="16" t="str">
        <f t="shared" si="18"/>
        <v>W</v>
      </c>
      <c r="O411" s="17">
        <v>7.2</v>
      </c>
      <c r="P411" s="16" t="s">
        <v>137</v>
      </c>
      <c r="Q411" s="18" t="s">
        <v>169</v>
      </c>
      <c r="R411" s="23" t="e">
        <f>NA()</f>
        <v>#N/A</v>
      </c>
      <c r="S411" s="23" t="e">
        <f>NA()</f>
        <v>#N/A</v>
      </c>
      <c r="T411" s="23" t="e">
        <f>NA()</f>
        <v>#N/A</v>
      </c>
      <c r="U411" s="20" t="e">
        <f>NA()</f>
        <v>#N/A</v>
      </c>
      <c r="V411" s="16" t="e">
        <f>NA()</f>
        <v>#N/A</v>
      </c>
      <c r="W411" s="21" t="e">
        <f>NA()</f>
        <v>#N/A</v>
      </c>
      <c r="X411" s="21" t="e">
        <f>NA()</f>
        <v>#N/A</v>
      </c>
      <c r="Y411" s="21" t="e">
        <f>NA()</f>
        <v>#N/A</v>
      </c>
      <c r="Z411" s="21" t="e">
        <f>NA()</f>
        <v>#N/A</v>
      </c>
      <c r="AA411" s="21" t="e">
        <f>NA()</f>
        <v>#N/A</v>
      </c>
      <c r="AB411" s="21" t="e">
        <f>NA()</f>
        <v>#N/A</v>
      </c>
      <c r="AC411" s="21" t="e">
        <f>NA()</f>
        <v>#N/A</v>
      </c>
      <c r="AD411" s="21" t="e">
        <f>NA()</f>
        <v>#N/A</v>
      </c>
      <c r="AE411" s="21" t="e">
        <f>NA()</f>
        <v>#N/A</v>
      </c>
      <c r="AF411" s="21" t="e">
        <f>NA()</f>
        <v>#N/A</v>
      </c>
      <c r="AG411" s="21" t="e">
        <f>NA()</f>
        <v>#N/A</v>
      </c>
      <c r="AH411" s="18" t="s">
        <v>28</v>
      </c>
      <c r="AI411" s="13" t="str">
        <f>VLOOKUP(AH411,'Hess and Brezowsky'!$B$2:$G$31,2,FALSE)</f>
        <v>Zonal</v>
      </c>
      <c r="AJ411" s="18" t="str">
        <f>VLOOKUP(AH411,'Hess and Brezowsky'!$B$2:$G$31,3,FALSE)</f>
        <v>C</v>
      </c>
      <c r="AK411" s="13" t="str">
        <f>VLOOKUP(AH411,'Hess and Brezowsky'!$B$2:$G$31,4,FALSE)</f>
        <v>Cyclonic Westerly</v>
      </c>
      <c r="AL411" s="29">
        <v>0.17644675925925926</v>
      </c>
      <c r="AM411" s="29">
        <v>0.49875000000000003</v>
      </c>
      <c r="AN411" s="30">
        <v>0.82106481481481486</v>
      </c>
    </row>
    <row r="412" spans="1:40" ht="15.75" customHeight="1" x14ac:dyDescent="0.2">
      <c r="A412" s="27">
        <v>45132</v>
      </c>
      <c r="B412" s="13">
        <v>2023</v>
      </c>
      <c r="C412" s="13">
        <v>206</v>
      </c>
      <c r="D412" s="13">
        <f t="shared" si="17"/>
        <v>3</v>
      </c>
      <c r="E412" s="13"/>
      <c r="F412" s="13">
        <f t="shared" si="16"/>
        <v>4</v>
      </c>
      <c r="G412" s="14">
        <v>1</v>
      </c>
      <c r="H412" s="14">
        <v>0</v>
      </c>
      <c r="I412" s="14">
        <v>1</v>
      </c>
      <c r="J412" s="14">
        <v>1</v>
      </c>
      <c r="K412" s="14">
        <v>0</v>
      </c>
      <c r="L412" s="14">
        <v>1</v>
      </c>
      <c r="M412" s="15">
        <v>320.32400000000001</v>
      </c>
      <c r="N412" s="16" t="str">
        <f t="shared" si="18"/>
        <v>NW</v>
      </c>
      <c r="O412" s="17">
        <v>6.1</v>
      </c>
      <c r="P412" s="16" t="s">
        <v>137</v>
      </c>
      <c r="Q412" s="18">
        <v>16.8</v>
      </c>
      <c r="R412" s="19">
        <v>16.71</v>
      </c>
      <c r="S412" s="19">
        <v>13.8</v>
      </c>
      <c r="T412" s="19">
        <v>20.2</v>
      </c>
      <c r="U412" s="20">
        <v>315.38</v>
      </c>
      <c r="V412" s="16" t="s">
        <v>6</v>
      </c>
      <c r="W412" s="21">
        <v>0.28999999999999998</v>
      </c>
      <c r="X412" s="21">
        <v>0.08</v>
      </c>
      <c r="Y412" s="21">
        <v>0</v>
      </c>
      <c r="Z412" s="21">
        <v>0</v>
      </c>
      <c r="AA412" s="21">
        <v>0</v>
      </c>
      <c r="AB412" s="21">
        <v>0</v>
      </c>
      <c r="AC412" s="21">
        <v>0.33</v>
      </c>
      <c r="AD412" s="21">
        <v>0.28999999999999998</v>
      </c>
      <c r="AE412" s="21">
        <v>6.79</v>
      </c>
      <c r="AF412" s="21">
        <v>5.47</v>
      </c>
      <c r="AG412" s="21">
        <v>10.8</v>
      </c>
      <c r="AH412" s="18" t="s">
        <v>12</v>
      </c>
      <c r="AI412" s="13" t="str">
        <f>VLOOKUP(AH412,'Hess and Brezowsky'!$B$2:$G$31,2,FALSE)</f>
        <v>Undefined</v>
      </c>
      <c r="AJ412" s="18" t="str">
        <f>VLOOKUP(AH412,'Hess and Brezowsky'!$B$2:$G$31,3,FALSE)</f>
        <v>M</v>
      </c>
      <c r="AK412" s="13" t="str">
        <f>VLOOKUP(AH412,'Hess and Brezowsky'!$B$2:$G$31,4,FALSE)</f>
        <v>Transistion / Undefined</v>
      </c>
      <c r="AL412" s="29">
        <v>0.17730324074074075</v>
      </c>
      <c r="AM412" s="29">
        <v>0.49877314814814816</v>
      </c>
      <c r="AN412" s="30">
        <v>0.82024305555555554</v>
      </c>
    </row>
    <row r="413" spans="1:40" ht="15.75" customHeight="1" x14ac:dyDescent="0.2">
      <c r="A413" s="27">
        <v>45133</v>
      </c>
      <c r="B413" s="13">
        <v>2023</v>
      </c>
      <c r="C413" s="13">
        <v>207</v>
      </c>
      <c r="D413" s="13">
        <f t="shared" si="17"/>
        <v>4</v>
      </c>
      <c r="E413" s="13"/>
      <c r="F413" s="13">
        <f t="shared" si="16"/>
        <v>4</v>
      </c>
      <c r="G413" s="14">
        <v>1</v>
      </c>
      <c r="H413" s="14">
        <v>0</v>
      </c>
      <c r="I413" s="14">
        <v>1</v>
      </c>
      <c r="J413" s="14">
        <v>1</v>
      </c>
      <c r="K413" s="14">
        <v>0</v>
      </c>
      <c r="L413" s="14">
        <v>1</v>
      </c>
      <c r="M413" s="15">
        <v>243.18</v>
      </c>
      <c r="N413" s="16" t="str">
        <f t="shared" si="18"/>
        <v>SW</v>
      </c>
      <c r="O413" s="17">
        <v>6.4</v>
      </c>
      <c r="P413" s="16" t="s">
        <v>137</v>
      </c>
      <c r="Q413" s="18">
        <v>0</v>
      </c>
      <c r="R413" s="19">
        <v>18.68</v>
      </c>
      <c r="S413" s="19">
        <v>12.3</v>
      </c>
      <c r="T413" s="19">
        <v>24</v>
      </c>
      <c r="U413" s="20">
        <v>243.1</v>
      </c>
      <c r="V413" s="16" t="s">
        <v>5</v>
      </c>
      <c r="W413" s="21">
        <v>0</v>
      </c>
      <c r="X413" s="21">
        <v>0</v>
      </c>
      <c r="Y413" s="21">
        <v>0</v>
      </c>
      <c r="Z413" s="21">
        <v>0</v>
      </c>
      <c r="AA413" s="21">
        <v>0.17</v>
      </c>
      <c r="AB413" s="21">
        <v>0.33</v>
      </c>
      <c r="AC413" s="21">
        <v>0.5</v>
      </c>
      <c r="AD413" s="21">
        <v>0</v>
      </c>
      <c r="AE413" s="21">
        <v>5.96</v>
      </c>
      <c r="AF413" s="21">
        <v>5.14</v>
      </c>
      <c r="AG413" s="21">
        <v>11.6</v>
      </c>
      <c r="AH413" s="18" t="s">
        <v>12</v>
      </c>
      <c r="AI413" s="13" t="str">
        <f>VLOOKUP(AH413,'Hess and Brezowsky'!$B$2:$G$31,2,FALSE)</f>
        <v>Undefined</v>
      </c>
      <c r="AJ413" s="18" t="str">
        <f>VLOOKUP(AH413,'Hess and Brezowsky'!$B$2:$G$31,3,FALSE)</f>
        <v>M</v>
      </c>
      <c r="AK413" s="13" t="str">
        <f>VLOOKUP(AH413,'Hess and Brezowsky'!$B$2:$G$31,4,FALSE)</f>
        <v>Transistion / Undefined</v>
      </c>
      <c r="AL413" s="29">
        <v>0.17818287037037037</v>
      </c>
      <c r="AM413" s="29">
        <v>0.4987847222222222</v>
      </c>
      <c r="AN413" s="30">
        <v>0.81938657407407411</v>
      </c>
    </row>
    <row r="414" spans="1:40" ht="15.75" customHeight="1" x14ac:dyDescent="0.2">
      <c r="A414" s="27">
        <v>45134</v>
      </c>
      <c r="B414" s="13">
        <v>2023</v>
      </c>
      <c r="C414" s="13">
        <v>208</v>
      </c>
      <c r="D414" s="13">
        <f t="shared" si="17"/>
        <v>5</v>
      </c>
      <c r="E414" s="13"/>
      <c r="F414" s="13">
        <f t="shared" si="16"/>
        <v>4</v>
      </c>
      <c r="G414" s="14">
        <v>1</v>
      </c>
      <c r="H414" s="14">
        <v>0</v>
      </c>
      <c r="I414" s="14">
        <v>1</v>
      </c>
      <c r="J414" s="14">
        <v>0.91</v>
      </c>
      <c r="K414" s="14">
        <v>0</v>
      </c>
      <c r="L414" s="14">
        <v>0.87</v>
      </c>
      <c r="M414" s="15">
        <v>240.958</v>
      </c>
      <c r="N414" s="16" t="str">
        <f t="shared" si="18"/>
        <v>SW</v>
      </c>
      <c r="O414" s="17">
        <v>9.5</v>
      </c>
      <c r="P414" s="16" t="s">
        <v>137</v>
      </c>
      <c r="Q414" s="18">
        <v>3.2</v>
      </c>
      <c r="R414" s="19">
        <v>19.54</v>
      </c>
      <c r="S414" s="19">
        <v>18.7</v>
      </c>
      <c r="T414" s="19">
        <v>22.2</v>
      </c>
      <c r="U414" s="20">
        <v>238.84</v>
      </c>
      <c r="V414" s="16" t="s">
        <v>5</v>
      </c>
      <c r="W414" s="21">
        <v>0</v>
      </c>
      <c r="X414" s="21">
        <v>0</v>
      </c>
      <c r="Y414" s="21">
        <v>0</v>
      </c>
      <c r="Z414" s="21">
        <v>0</v>
      </c>
      <c r="AA414" s="21">
        <v>0</v>
      </c>
      <c r="AB414" s="21">
        <v>0.96</v>
      </c>
      <c r="AC414" s="21">
        <v>0.04</v>
      </c>
      <c r="AD414" s="21">
        <v>0</v>
      </c>
      <c r="AE414" s="21">
        <v>9.1999999999999993</v>
      </c>
      <c r="AF414" s="21">
        <v>9.1300000000000008</v>
      </c>
      <c r="AG414" s="21">
        <v>13.5</v>
      </c>
      <c r="AH414" s="18" t="s">
        <v>28</v>
      </c>
      <c r="AI414" s="13" t="str">
        <f>VLOOKUP(AH414,'Hess and Brezowsky'!$B$2:$G$31,2,FALSE)</f>
        <v>Zonal</v>
      </c>
      <c r="AJ414" s="18" t="str">
        <f>VLOOKUP(AH414,'Hess and Brezowsky'!$B$2:$G$31,3,FALSE)</f>
        <v>C</v>
      </c>
      <c r="AK414" s="13" t="str">
        <f>VLOOKUP(AH414,'Hess and Brezowsky'!$B$2:$G$31,4,FALSE)</f>
        <v>Cyclonic Westerly</v>
      </c>
      <c r="AL414" s="29">
        <v>0.17907407407407408</v>
      </c>
      <c r="AM414" s="29">
        <v>0.49879629629629629</v>
      </c>
      <c r="AN414" s="30">
        <v>0.81851851851851853</v>
      </c>
    </row>
    <row r="415" spans="1:40" ht="15.75" customHeight="1" x14ac:dyDescent="0.2">
      <c r="A415" s="27">
        <v>45135</v>
      </c>
      <c r="B415" s="13">
        <v>2023</v>
      </c>
      <c r="C415" s="13">
        <v>209</v>
      </c>
      <c r="D415" s="13">
        <f t="shared" si="17"/>
        <v>6</v>
      </c>
      <c r="E415" s="13"/>
      <c r="F415" s="13">
        <f t="shared" si="16"/>
        <v>4</v>
      </c>
      <c r="G415" s="14">
        <v>1</v>
      </c>
      <c r="H415" s="14">
        <v>0</v>
      </c>
      <c r="I415" s="14">
        <v>1</v>
      </c>
      <c r="J415" s="14">
        <v>1</v>
      </c>
      <c r="K415" s="14">
        <v>0</v>
      </c>
      <c r="L415" s="14">
        <v>0.91</v>
      </c>
      <c r="M415" s="15">
        <v>226.31399999999999</v>
      </c>
      <c r="N415" s="16" t="str">
        <f t="shared" si="18"/>
        <v>SW</v>
      </c>
      <c r="O415" s="17">
        <v>6.4</v>
      </c>
      <c r="P415" s="16" t="s">
        <v>137</v>
      </c>
      <c r="Q415" s="18">
        <v>51.5</v>
      </c>
      <c r="R415" s="19">
        <v>20.41</v>
      </c>
      <c r="S415" s="19">
        <v>18.600000000000001</v>
      </c>
      <c r="T415" s="19">
        <v>24.7</v>
      </c>
      <c r="U415" s="20">
        <v>233.77</v>
      </c>
      <c r="V415" s="16" t="s">
        <v>5</v>
      </c>
      <c r="W415" s="21">
        <v>0.04</v>
      </c>
      <c r="X415" s="21">
        <v>0.04</v>
      </c>
      <c r="Y415" s="21">
        <v>0</v>
      </c>
      <c r="Z415" s="21">
        <v>0</v>
      </c>
      <c r="AA415" s="21">
        <v>0.08</v>
      </c>
      <c r="AB415" s="21">
        <v>0.67</v>
      </c>
      <c r="AC415" s="21">
        <v>0.12</v>
      </c>
      <c r="AD415" s="21">
        <v>0.04</v>
      </c>
      <c r="AE415" s="21">
        <v>5.65</v>
      </c>
      <c r="AF415" s="21">
        <v>5.0999999999999996</v>
      </c>
      <c r="AG415" s="21">
        <v>9.3000000000000007</v>
      </c>
      <c r="AH415" s="18" t="s">
        <v>28</v>
      </c>
      <c r="AI415" s="13" t="str">
        <f>VLOOKUP(AH415,'Hess and Brezowsky'!$B$2:$G$31,2,FALSE)</f>
        <v>Zonal</v>
      </c>
      <c r="AJ415" s="18" t="str">
        <f>VLOOKUP(AH415,'Hess and Brezowsky'!$B$2:$G$31,3,FALSE)</f>
        <v>C</v>
      </c>
      <c r="AK415" s="13" t="str">
        <f>VLOOKUP(AH415,'Hess and Brezowsky'!$B$2:$G$31,4,FALSE)</f>
        <v>Cyclonic Westerly</v>
      </c>
      <c r="AL415" s="29">
        <v>0.17996527777777777</v>
      </c>
      <c r="AM415" s="29">
        <v>0.49879629629629629</v>
      </c>
      <c r="AN415" s="30">
        <v>0.81761574074074073</v>
      </c>
    </row>
    <row r="416" spans="1:40" ht="15.75" customHeight="1" x14ac:dyDescent="0.2">
      <c r="A416" s="27">
        <v>45136</v>
      </c>
      <c r="B416" s="13">
        <v>2023</v>
      </c>
      <c r="C416" s="13">
        <v>210</v>
      </c>
      <c r="D416" s="13">
        <f t="shared" si="17"/>
        <v>7</v>
      </c>
      <c r="E416" s="13"/>
      <c r="F416" s="13">
        <f t="shared" si="16"/>
        <v>4</v>
      </c>
      <c r="G416" s="14">
        <v>1</v>
      </c>
      <c r="H416" s="14">
        <v>0</v>
      </c>
      <c r="I416" s="14">
        <v>1</v>
      </c>
      <c r="J416" s="14">
        <v>0.95</v>
      </c>
      <c r="K416" s="14">
        <v>0</v>
      </c>
      <c r="L416" s="14">
        <v>1</v>
      </c>
      <c r="M416" s="15">
        <v>247.47300000000001</v>
      </c>
      <c r="N416" s="16" t="str">
        <f t="shared" si="18"/>
        <v>SW</v>
      </c>
      <c r="O416" s="17">
        <v>7</v>
      </c>
      <c r="P416" s="16" t="s">
        <v>137</v>
      </c>
      <c r="Q416" s="18">
        <v>1.8</v>
      </c>
      <c r="R416" s="19">
        <v>20.61</v>
      </c>
      <c r="S416" s="19">
        <v>16.899999999999999</v>
      </c>
      <c r="T416" s="19">
        <v>25.8</v>
      </c>
      <c r="U416" s="20">
        <v>248.3</v>
      </c>
      <c r="V416" s="16" t="s">
        <v>16</v>
      </c>
      <c r="W416" s="21">
        <v>0.04</v>
      </c>
      <c r="X416" s="21">
        <v>0.04</v>
      </c>
      <c r="Y416" s="21">
        <v>0</v>
      </c>
      <c r="Z416" s="21">
        <v>0</v>
      </c>
      <c r="AA416" s="21">
        <v>0</v>
      </c>
      <c r="AB416" s="21">
        <v>0.62</v>
      </c>
      <c r="AC416" s="21">
        <v>0.12</v>
      </c>
      <c r="AD416" s="21">
        <v>0.17</v>
      </c>
      <c r="AE416" s="21">
        <v>6.5</v>
      </c>
      <c r="AF416" s="21">
        <v>5.41</v>
      </c>
      <c r="AG416" s="21">
        <v>11.5</v>
      </c>
      <c r="AH416" s="18" t="s">
        <v>28</v>
      </c>
      <c r="AI416" s="13" t="str">
        <f>VLOOKUP(AH416,'Hess and Brezowsky'!$B$2:$G$31,2,FALSE)</f>
        <v>Zonal</v>
      </c>
      <c r="AJ416" s="18" t="str">
        <f>VLOOKUP(AH416,'Hess and Brezowsky'!$B$2:$G$31,3,FALSE)</f>
        <v>C</v>
      </c>
      <c r="AK416" s="13" t="str">
        <f>VLOOKUP(AH416,'Hess and Brezowsky'!$B$2:$G$31,4,FALSE)</f>
        <v>Cyclonic Westerly</v>
      </c>
      <c r="AL416" s="29">
        <v>0.18086805555555555</v>
      </c>
      <c r="AM416" s="29">
        <v>0.4987847222222222</v>
      </c>
      <c r="AN416" s="30">
        <v>0.81670138888888888</v>
      </c>
    </row>
    <row r="417" spans="1:40" ht="15.75" customHeight="1" x14ac:dyDescent="0.2">
      <c r="A417" s="27">
        <v>45137</v>
      </c>
      <c r="B417" s="13">
        <v>2023</v>
      </c>
      <c r="C417" s="13">
        <v>211</v>
      </c>
      <c r="D417" s="13">
        <f t="shared" si="17"/>
        <v>1</v>
      </c>
      <c r="E417" s="13"/>
      <c r="F417" s="13">
        <f t="shared" si="16"/>
        <v>3</v>
      </c>
      <c r="G417" s="14">
        <v>1</v>
      </c>
      <c r="H417" s="14">
        <v>0</v>
      </c>
      <c r="I417" s="14">
        <v>1</v>
      </c>
      <c r="J417" s="14">
        <v>0.5</v>
      </c>
      <c r="K417" s="14">
        <v>0</v>
      </c>
      <c r="L417" s="14">
        <v>1</v>
      </c>
      <c r="M417" s="15">
        <v>256.70600000000002</v>
      </c>
      <c r="N417" s="16" t="str">
        <f t="shared" si="18"/>
        <v>W</v>
      </c>
      <c r="O417" s="17">
        <v>7.7</v>
      </c>
      <c r="P417" s="16" t="s">
        <v>137</v>
      </c>
      <c r="Q417" s="18">
        <v>0</v>
      </c>
      <c r="R417" s="19">
        <v>19.510000000000002</v>
      </c>
      <c r="S417" s="19">
        <v>15.7</v>
      </c>
      <c r="T417" s="19">
        <v>24.1</v>
      </c>
      <c r="U417" s="20">
        <v>253.49</v>
      </c>
      <c r="V417" s="16" t="s">
        <v>16</v>
      </c>
      <c r="W417" s="21">
        <v>0</v>
      </c>
      <c r="X417" s="21">
        <v>0</v>
      </c>
      <c r="Y417" s="21">
        <v>0</v>
      </c>
      <c r="Z417" s="21">
        <v>0</v>
      </c>
      <c r="AA417" s="21">
        <v>0</v>
      </c>
      <c r="AB417" s="21">
        <v>0.46</v>
      </c>
      <c r="AC417" s="21">
        <v>0.54</v>
      </c>
      <c r="AD417" s="21">
        <v>0</v>
      </c>
      <c r="AE417" s="21">
        <v>8.23</v>
      </c>
      <c r="AF417" s="21">
        <v>8.0299999999999994</v>
      </c>
      <c r="AG417" s="21">
        <v>11.7</v>
      </c>
      <c r="AH417" s="18" t="s">
        <v>28</v>
      </c>
      <c r="AI417" s="13" t="str">
        <f>VLOOKUP(AH417,'Hess and Brezowsky'!$B$2:$G$31,2,FALSE)</f>
        <v>Zonal</v>
      </c>
      <c r="AJ417" s="18" t="str">
        <f>VLOOKUP(AH417,'Hess and Brezowsky'!$B$2:$G$31,3,FALSE)</f>
        <v>C</v>
      </c>
      <c r="AK417" s="13" t="str">
        <f>VLOOKUP(AH417,'Hess and Brezowsky'!$B$2:$G$31,4,FALSE)</f>
        <v>Cyclonic Westerly</v>
      </c>
      <c r="AL417" s="29">
        <v>0.18178240740740742</v>
      </c>
      <c r="AM417" s="29">
        <v>0.49877314814814816</v>
      </c>
      <c r="AN417" s="30">
        <v>0.81575231481481481</v>
      </c>
    </row>
    <row r="418" spans="1:40" ht="15.75" customHeight="1" x14ac:dyDescent="0.2">
      <c r="A418" s="27">
        <v>45138</v>
      </c>
      <c r="B418" s="13">
        <v>2023</v>
      </c>
      <c r="C418" s="13">
        <v>212</v>
      </c>
      <c r="D418" s="13">
        <f t="shared" si="17"/>
        <v>2</v>
      </c>
      <c r="E418" s="13"/>
      <c r="F418" s="13">
        <f t="shared" si="16"/>
        <v>4</v>
      </c>
      <c r="G418" s="14">
        <v>1</v>
      </c>
      <c r="H418" s="14">
        <v>0</v>
      </c>
      <c r="I418" s="14">
        <v>1</v>
      </c>
      <c r="J418" s="14">
        <v>0.95</v>
      </c>
      <c r="K418" s="14">
        <v>0</v>
      </c>
      <c r="L418" s="14">
        <v>0.95</v>
      </c>
      <c r="M418" s="15">
        <v>228.255</v>
      </c>
      <c r="N418" s="16" t="str">
        <f t="shared" si="18"/>
        <v>SW</v>
      </c>
      <c r="O418" s="17">
        <v>11.1</v>
      </c>
      <c r="P418" s="16" t="s">
        <v>140</v>
      </c>
      <c r="Q418" s="18">
        <v>7.4</v>
      </c>
      <c r="R418" s="19">
        <v>18.829999999999998</v>
      </c>
      <c r="S418" s="19">
        <v>17.600000000000001</v>
      </c>
      <c r="T418" s="19">
        <v>21.4</v>
      </c>
      <c r="U418" s="20">
        <v>228.58</v>
      </c>
      <c r="V418" s="16" t="s">
        <v>5</v>
      </c>
      <c r="W418" s="21">
        <v>0</v>
      </c>
      <c r="X418" s="21">
        <v>0</v>
      </c>
      <c r="Y418" s="21">
        <v>0</v>
      </c>
      <c r="Z418" s="21">
        <v>0</v>
      </c>
      <c r="AA418" s="21">
        <v>0</v>
      </c>
      <c r="AB418" s="21">
        <v>1</v>
      </c>
      <c r="AC418" s="21">
        <v>0</v>
      </c>
      <c r="AD418" s="21">
        <v>0</v>
      </c>
      <c r="AE418" s="21">
        <v>10.31</v>
      </c>
      <c r="AF418" s="21">
        <v>10.199999999999999</v>
      </c>
      <c r="AG418" s="21">
        <v>16.600000000000001</v>
      </c>
      <c r="AH418" s="18" t="s">
        <v>28</v>
      </c>
      <c r="AI418" s="13" t="str">
        <f>VLOOKUP(AH418,'Hess and Brezowsky'!$B$2:$G$31,2,FALSE)</f>
        <v>Zonal</v>
      </c>
      <c r="AJ418" s="18" t="str">
        <f>VLOOKUP(AH418,'Hess and Brezowsky'!$B$2:$G$31,3,FALSE)</f>
        <v>C</v>
      </c>
      <c r="AK418" s="13" t="str">
        <f>VLOOKUP(AH418,'Hess and Brezowsky'!$B$2:$G$31,4,FALSE)</f>
        <v>Cyclonic Westerly</v>
      </c>
      <c r="AL418" s="29">
        <v>0.18270833333333333</v>
      </c>
      <c r="AM418" s="29">
        <v>0.49875000000000003</v>
      </c>
      <c r="AN418" s="30">
        <v>0.81479166666666669</v>
      </c>
    </row>
    <row r="419" spans="1:40" ht="15.75" customHeight="1" x14ac:dyDescent="0.2">
      <c r="A419" s="27">
        <v>45139</v>
      </c>
      <c r="B419" s="13">
        <v>2023</v>
      </c>
      <c r="C419" s="13">
        <v>213</v>
      </c>
      <c r="D419" s="13">
        <f t="shared" si="17"/>
        <v>3</v>
      </c>
      <c r="E419" s="13"/>
      <c r="F419" s="13">
        <f t="shared" si="16"/>
        <v>4</v>
      </c>
      <c r="G419" s="14">
        <v>1</v>
      </c>
      <c r="H419" s="14">
        <v>0</v>
      </c>
      <c r="I419" s="14">
        <v>1</v>
      </c>
      <c r="J419" s="14">
        <v>1</v>
      </c>
      <c r="K419" s="14">
        <v>0</v>
      </c>
      <c r="L419" s="14">
        <v>1</v>
      </c>
      <c r="M419" s="15">
        <v>253.91200000000001</v>
      </c>
      <c r="N419" s="16" t="str">
        <f t="shared" si="18"/>
        <v>W</v>
      </c>
      <c r="O419" s="17">
        <v>9.9</v>
      </c>
      <c r="P419" s="16" t="s">
        <v>137</v>
      </c>
      <c r="Q419" s="18">
        <v>7.4</v>
      </c>
      <c r="R419" s="19">
        <v>19.04</v>
      </c>
      <c r="S419" s="19">
        <v>15.6</v>
      </c>
      <c r="T419" s="19">
        <v>22.6</v>
      </c>
      <c r="U419" s="20">
        <v>253.41</v>
      </c>
      <c r="V419" s="16" t="s">
        <v>16</v>
      </c>
      <c r="W419" s="21">
        <v>0</v>
      </c>
      <c r="X419" s="21">
        <v>0</v>
      </c>
      <c r="Y419" s="21">
        <v>0</v>
      </c>
      <c r="Z419" s="21">
        <v>0</v>
      </c>
      <c r="AA419" s="21">
        <v>0.04</v>
      </c>
      <c r="AB419" s="21">
        <v>0.38</v>
      </c>
      <c r="AC419" s="21">
        <v>0.54</v>
      </c>
      <c r="AD419" s="21">
        <v>0.04</v>
      </c>
      <c r="AE419" s="21">
        <v>10.1</v>
      </c>
      <c r="AF419" s="21">
        <v>9.16</v>
      </c>
      <c r="AG419" s="21">
        <v>17.2</v>
      </c>
      <c r="AH419" s="18" t="s">
        <v>28</v>
      </c>
      <c r="AI419" s="13" t="str">
        <f>VLOOKUP(AH419,'Hess and Brezowsky'!$B$2:$G$31,2,FALSE)</f>
        <v>Zonal</v>
      </c>
      <c r="AJ419" s="18" t="str">
        <f>VLOOKUP(AH419,'Hess and Brezowsky'!$B$2:$G$31,3,FALSE)</f>
        <v>C</v>
      </c>
      <c r="AK419" s="13" t="str">
        <f>VLOOKUP(AH419,'Hess and Brezowsky'!$B$2:$G$31,4,FALSE)</f>
        <v>Cyclonic Westerly</v>
      </c>
      <c r="AL419" s="29">
        <v>0.18363425925925925</v>
      </c>
      <c r="AM419" s="29">
        <v>0.49872685185185184</v>
      </c>
      <c r="AN419" s="30">
        <v>0.81380787037037039</v>
      </c>
    </row>
    <row r="420" spans="1:40" ht="15.75" customHeight="1" x14ac:dyDescent="0.2">
      <c r="A420" s="27">
        <v>45140</v>
      </c>
      <c r="B420" s="13">
        <v>2023</v>
      </c>
      <c r="C420" s="13">
        <v>214</v>
      </c>
      <c r="D420" s="13">
        <f t="shared" si="17"/>
        <v>4</v>
      </c>
      <c r="E420" s="13"/>
      <c r="F420" s="13">
        <f t="shared" si="16"/>
        <v>4</v>
      </c>
      <c r="G420" s="14">
        <v>1</v>
      </c>
      <c r="H420" s="14">
        <v>0</v>
      </c>
      <c r="I420" s="14">
        <v>1</v>
      </c>
      <c r="J420" s="14">
        <v>1</v>
      </c>
      <c r="K420" s="14">
        <v>0</v>
      </c>
      <c r="L420" s="14">
        <v>1</v>
      </c>
      <c r="M420" s="15">
        <v>228.69900000000001</v>
      </c>
      <c r="N420" s="16" t="str">
        <f t="shared" si="18"/>
        <v>SW</v>
      </c>
      <c r="O420" s="17">
        <v>14.7</v>
      </c>
      <c r="P420" s="16" t="s">
        <v>137</v>
      </c>
      <c r="Q420" s="18">
        <v>25</v>
      </c>
      <c r="R420" s="19">
        <v>19.989999999999998</v>
      </c>
      <c r="S420" s="19">
        <v>16.899999999999999</v>
      </c>
      <c r="T420" s="19">
        <v>24.7</v>
      </c>
      <c r="U420" s="20">
        <v>226.81</v>
      </c>
      <c r="V420" s="16" t="s">
        <v>5</v>
      </c>
      <c r="W420" s="21">
        <v>0</v>
      </c>
      <c r="X420" s="21">
        <v>0</v>
      </c>
      <c r="Y420" s="21">
        <v>0</v>
      </c>
      <c r="Z420" s="21">
        <v>0</v>
      </c>
      <c r="AA420" s="21">
        <v>0.12</v>
      </c>
      <c r="AB420" s="21">
        <v>0.88</v>
      </c>
      <c r="AC420" s="21">
        <v>0</v>
      </c>
      <c r="AD420" s="21">
        <v>0</v>
      </c>
      <c r="AE420" s="21">
        <v>13.91</v>
      </c>
      <c r="AF420" s="21">
        <v>13.52</v>
      </c>
      <c r="AG420" s="21">
        <v>22.3</v>
      </c>
      <c r="AH420" s="18" t="s">
        <v>28</v>
      </c>
      <c r="AI420" s="13" t="str">
        <f>VLOOKUP(AH420,'Hess and Brezowsky'!$B$2:$G$31,2,FALSE)</f>
        <v>Zonal</v>
      </c>
      <c r="AJ420" s="18" t="str">
        <f>VLOOKUP(AH420,'Hess and Brezowsky'!$B$2:$G$31,3,FALSE)</f>
        <v>C</v>
      </c>
      <c r="AK420" s="13" t="str">
        <f>VLOOKUP(AH420,'Hess and Brezowsky'!$B$2:$G$31,4,FALSE)</f>
        <v>Cyclonic Westerly</v>
      </c>
      <c r="AL420" s="29">
        <v>0.18457175925925925</v>
      </c>
      <c r="AM420" s="29">
        <v>0.49869212962962961</v>
      </c>
      <c r="AN420" s="30">
        <v>0.8128009259259259</v>
      </c>
    </row>
    <row r="421" spans="1:40" ht="15.75" customHeight="1" x14ac:dyDescent="0.2">
      <c r="A421" s="27">
        <v>45141</v>
      </c>
      <c r="B421" s="13">
        <v>2023</v>
      </c>
      <c r="C421" s="13">
        <v>215</v>
      </c>
      <c r="D421" s="13">
        <f t="shared" si="17"/>
        <v>5</v>
      </c>
      <c r="E421" s="13"/>
      <c r="F421" s="13">
        <f t="shared" si="16"/>
        <v>4</v>
      </c>
      <c r="G421" s="14">
        <v>1</v>
      </c>
      <c r="H421" s="14">
        <v>0</v>
      </c>
      <c r="I421" s="14">
        <v>1</v>
      </c>
      <c r="J421" s="14">
        <v>1</v>
      </c>
      <c r="K421" s="14">
        <v>0</v>
      </c>
      <c r="L421" s="14">
        <v>0.95</v>
      </c>
      <c r="M421" s="15">
        <v>260.19299999999998</v>
      </c>
      <c r="N421" s="16" t="str">
        <f t="shared" si="18"/>
        <v>W</v>
      </c>
      <c r="O421" s="17">
        <v>8.8000000000000007</v>
      </c>
      <c r="P421" s="16" t="s">
        <v>137</v>
      </c>
      <c r="Q421" s="18">
        <v>4.5999999999999996</v>
      </c>
      <c r="R421" s="19">
        <v>17.05</v>
      </c>
      <c r="S421" s="19">
        <v>15.4</v>
      </c>
      <c r="T421" s="19">
        <v>19.899999999999999</v>
      </c>
      <c r="U421" s="20">
        <v>260.66000000000003</v>
      </c>
      <c r="V421" s="16" t="s">
        <v>16</v>
      </c>
      <c r="W421" s="21">
        <v>0.08</v>
      </c>
      <c r="X421" s="21">
        <v>0</v>
      </c>
      <c r="Y421" s="21">
        <v>0</v>
      </c>
      <c r="Z421" s="21">
        <v>0</v>
      </c>
      <c r="AA421" s="21">
        <v>0</v>
      </c>
      <c r="AB421" s="21">
        <v>0.54</v>
      </c>
      <c r="AC421" s="21">
        <v>0.04</v>
      </c>
      <c r="AD421" s="21">
        <v>0.33</v>
      </c>
      <c r="AE421" s="21">
        <v>9.5500000000000007</v>
      </c>
      <c r="AF421" s="21">
        <v>7.35</v>
      </c>
      <c r="AG421" s="21">
        <v>15.5</v>
      </c>
      <c r="AH421" s="18" t="s">
        <v>28</v>
      </c>
      <c r="AI421" s="13" t="str">
        <f>VLOOKUP(AH421,'Hess and Brezowsky'!$B$2:$G$31,2,FALSE)</f>
        <v>Zonal</v>
      </c>
      <c r="AJ421" s="18" t="str">
        <f>VLOOKUP(AH421,'Hess and Brezowsky'!$B$2:$G$31,3,FALSE)</f>
        <v>C</v>
      </c>
      <c r="AK421" s="13" t="str">
        <f>VLOOKUP(AH421,'Hess and Brezowsky'!$B$2:$G$31,4,FALSE)</f>
        <v>Cyclonic Westerly</v>
      </c>
      <c r="AL421" s="29">
        <v>0.18552083333333333</v>
      </c>
      <c r="AM421" s="29">
        <v>0.49864583333333334</v>
      </c>
      <c r="AN421" s="30">
        <v>0.81178240740740737</v>
      </c>
    </row>
    <row r="422" spans="1:40" ht="15.75" customHeight="1" x14ac:dyDescent="0.2">
      <c r="A422" s="27">
        <v>45142</v>
      </c>
      <c r="B422" s="13">
        <v>2023</v>
      </c>
      <c r="C422" s="13">
        <v>216</v>
      </c>
      <c r="D422" s="13">
        <f t="shared" si="17"/>
        <v>6</v>
      </c>
      <c r="E422" s="13"/>
      <c r="F422" s="13">
        <f t="shared" si="16"/>
        <v>4</v>
      </c>
      <c r="G422" s="14">
        <v>1</v>
      </c>
      <c r="H422" s="14">
        <v>0</v>
      </c>
      <c r="I422" s="14">
        <v>1</v>
      </c>
      <c r="J422" s="14">
        <v>1</v>
      </c>
      <c r="K422" s="14">
        <v>0</v>
      </c>
      <c r="L422" s="14">
        <v>1</v>
      </c>
      <c r="M422" s="15">
        <v>318.16199999999998</v>
      </c>
      <c r="N422" s="16" t="str">
        <f t="shared" si="18"/>
        <v>NW</v>
      </c>
      <c r="O422" s="17">
        <v>6.2</v>
      </c>
      <c r="P422" s="16" t="s">
        <v>137</v>
      </c>
      <c r="Q422" s="18">
        <v>2.4</v>
      </c>
      <c r="R422" s="19">
        <v>17.71</v>
      </c>
      <c r="S422" s="19">
        <v>15.2</v>
      </c>
      <c r="T422" s="19">
        <v>22</v>
      </c>
      <c r="U422" s="20">
        <v>312.92</v>
      </c>
      <c r="V422" s="16" t="s">
        <v>6</v>
      </c>
      <c r="W422" s="21">
        <v>0.04</v>
      </c>
      <c r="X422" s="21">
        <v>0</v>
      </c>
      <c r="Y422" s="21">
        <v>0</v>
      </c>
      <c r="Z422" s="21">
        <v>0</v>
      </c>
      <c r="AA422" s="21">
        <v>0</v>
      </c>
      <c r="AB422" s="21">
        <v>0</v>
      </c>
      <c r="AC422" s="21">
        <v>0.08</v>
      </c>
      <c r="AD422" s="21">
        <v>0.88</v>
      </c>
      <c r="AE422" s="21">
        <v>7.25</v>
      </c>
      <c r="AF422" s="21">
        <v>7.08</v>
      </c>
      <c r="AG422" s="21">
        <v>11.8</v>
      </c>
      <c r="AH422" s="18" t="s">
        <v>30</v>
      </c>
      <c r="AI422" s="13" t="str">
        <f>VLOOKUP(AH422,'Hess and Brezowsky'!$B$2:$G$31,2,FALSE)</f>
        <v>Meridional</v>
      </c>
      <c r="AJ422" s="18" t="str">
        <f>VLOOKUP(AH422,'Hess and Brezowsky'!$B$2:$G$31,3,FALSE)</f>
        <v>M</v>
      </c>
      <c r="AK422" s="13" t="str">
        <f>VLOOKUP(AH422,'Hess and Brezowsky'!$B$2:$G$31,4,FALSE)</f>
        <v>Trough over Central Europe</v>
      </c>
      <c r="AL422" s="29">
        <v>0.1864699074074074</v>
      </c>
      <c r="AM422" s="29">
        <v>0.49859953703703702</v>
      </c>
      <c r="AN422" s="30">
        <v>0.81074074074074076</v>
      </c>
    </row>
    <row r="423" spans="1:40" ht="15.75" customHeight="1" x14ac:dyDescent="0.2">
      <c r="A423" s="27">
        <v>45143</v>
      </c>
      <c r="B423" s="13">
        <v>2023</v>
      </c>
      <c r="C423" s="13">
        <v>217</v>
      </c>
      <c r="D423" s="13">
        <f t="shared" si="17"/>
        <v>7</v>
      </c>
      <c r="E423" s="13"/>
      <c r="F423" s="13">
        <f t="shared" si="16"/>
        <v>4</v>
      </c>
      <c r="G423" s="14">
        <v>1</v>
      </c>
      <c r="H423" s="14">
        <v>0</v>
      </c>
      <c r="I423" s="14">
        <v>1</v>
      </c>
      <c r="J423" s="14">
        <v>1</v>
      </c>
      <c r="K423" s="14">
        <v>0</v>
      </c>
      <c r="L423" s="14">
        <v>1</v>
      </c>
      <c r="M423" s="15">
        <v>235.35499999999999</v>
      </c>
      <c r="N423" s="16" t="str">
        <f t="shared" si="18"/>
        <v>SW</v>
      </c>
      <c r="O423" s="17">
        <v>10.1</v>
      </c>
      <c r="P423" s="16" t="s">
        <v>137</v>
      </c>
      <c r="Q423" s="18">
        <v>1.2</v>
      </c>
      <c r="R423" s="19">
        <v>16.14</v>
      </c>
      <c r="S423" s="19">
        <v>13.5</v>
      </c>
      <c r="T423" s="19">
        <v>19.399999999999999</v>
      </c>
      <c r="U423" s="20">
        <v>234.54</v>
      </c>
      <c r="V423" s="16" t="s">
        <v>5</v>
      </c>
      <c r="W423" s="21">
        <v>0</v>
      </c>
      <c r="X423" s="21">
        <v>0</v>
      </c>
      <c r="Y423" s="21">
        <v>0</v>
      </c>
      <c r="Z423" s="21">
        <v>0</v>
      </c>
      <c r="AA423" s="21">
        <v>0.28999999999999998</v>
      </c>
      <c r="AB423" s="21">
        <v>0.28999999999999998</v>
      </c>
      <c r="AC423" s="21">
        <v>0.38</v>
      </c>
      <c r="AD423" s="21">
        <v>0.04</v>
      </c>
      <c r="AE423" s="21">
        <v>10.220000000000001</v>
      </c>
      <c r="AF423" s="21">
        <v>8.93</v>
      </c>
      <c r="AG423" s="21">
        <v>20.9</v>
      </c>
      <c r="AH423" s="18" t="s">
        <v>30</v>
      </c>
      <c r="AI423" s="13" t="str">
        <f>VLOOKUP(AH423,'Hess and Brezowsky'!$B$2:$G$31,2,FALSE)</f>
        <v>Meridional</v>
      </c>
      <c r="AJ423" s="18" t="str">
        <f>VLOOKUP(AH423,'Hess and Brezowsky'!$B$2:$G$31,3,FALSE)</f>
        <v>M</v>
      </c>
      <c r="AK423" s="13" t="str">
        <f>VLOOKUP(AH423,'Hess and Brezowsky'!$B$2:$G$31,4,FALSE)</f>
        <v>Trough over Central Europe</v>
      </c>
      <c r="AL423" s="29">
        <v>0.18741898148148148</v>
      </c>
      <c r="AM423" s="29">
        <v>0.49854166666666666</v>
      </c>
      <c r="AN423" s="30">
        <v>0.80967592592592597</v>
      </c>
    </row>
    <row r="424" spans="1:40" ht="15.75" customHeight="1" x14ac:dyDescent="0.2">
      <c r="A424" s="27">
        <v>45144</v>
      </c>
      <c r="B424" s="13">
        <v>2023</v>
      </c>
      <c r="C424" s="13">
        <v>218</v>
      </c>
      <c r="D424" s="13">
        <f t="shared" si="17"/>
        <v>1</v>
      </c>
      <c r="E424" s="13"/>
      <c r="F424" s="13">
        <f t="shared" si="16"/>
        <v>4</v>
      </c>
      <c r="G424" s="14">
        <v>1</v>
      </c>
      <c r="H424" s="14">
        <v>0</v>
      </c>
      <c r="I424" s="14">
        <v>1</v>
      </c>
      <c r="J424" s="14">
        <v>1</v>
      </c>
      <c r="K424" s="14">
        <v>0</v>
      </c>
      <c r="L424" s="14">
        <v>1</v>
      </c>
      <c r="M424" s="15">
        <v>297.71699999999998</v>
      </c>
      <c r="N424" s="16" t="str">
        <f t="shared" si="18"/>
        <v>NW</v>
      </c>
      <c r="O424" s="17">
        <v>10.5</v>
      </c>
      <c r="P424" s="16" t="s">
        <v>137</v>
      </c>
      <c r="Q424" s="18">
        <v>0</v>
      </c>
      <c r="R424" s="19">
        <v>16.43</v>
      </c>
      <c r="S424" s="19">
        <v>13.7</v>
      </c>
      <c r="T424" s="19">
        <v>19.3</v>
      </c>
      <c r="U424" s="20">
        <v>291.24</v>
      </c>
      <c r="V424" s="16" t="s">
        <v>16</v>
      </c>
      <c r="W424" s="21">
        <v>0</v>
      </c>
      <c r="X424" s="21">
        <v>0</v>
      </c>
      <c r="Y424" s="21">
        <v>0</v>
      </c>
      <c r="Z424" s="21">
        <v>0</v>
      </c>
      <c r="AA424" s="21">
        <v>0</v>
      </c>
      <c r="AB424" s="21">
        <v>0</v>
      </c>
      <c r="AC424" s="21">
        <v>0.57999999999999996</v>
      </c>
      <c r="AD424" s="21">
        <v>0.42</v>
      </c>
      <c r="AE424" s="21">
        <v>12.5</v>
      </c>
      <c r="AF424" s="21">
        <v>12.44</v>
      </c>
      <c r="AG424" s="21">
        <v>18.7</v>
      </c>
      <c r="AH424" s="18" t="s">
        <v>30</v>
      </c>
      <c r="AI424" s="13" t="str">
        <f>VLOOKUP(AH424,'Hess and Brezowsky'!$B$2:$G$31,2,FALSE)</f>
        <v>Meridional</v>
      </c>
      <c r="AJ424" s="18" t="str">
        <f>VLOOKUP(AH424,'Hess and Brezowsky'!$B$2:$G$31,3,FALSE)</f>
        <v>M</v>
      </c>
      <c r="AK424" s="13" t="str">
        <f>VLOOKUP(AH424,'Hess and Brezowsky'!$B$2:$G$31,4,FALSE)</f>
        <v>Trough over Central Europe</v>
      </c>
      <c r="AL424" s="29">
        <v>0.18837962962962962</v>
      </c>
      <c r="AM424" s="29">
        <v>0.4984837962962963</v>
      </c>
      <c r="AN424" s="30">
        <v>0.80858796296296298</v>
      </c>
    </row>
    <row r="425" spans="1:40" ht="15.75" customHeight="1" x14ac:dyDescent="0.2">
      <c r="A425" s="27">
        <v>45145</v>
      </c>
      <c r="B425" s="13">
        <v>2023</v>
      </c>
      <c r="C425" s="13">
        <v>219</v>
      </c>
      <c r="D425" s="13">
        <f t="shared" si="17"/>
        <v>2</v>
      </c>
      <c r="E425" s="13"/>
      <c r="F425" s="13">
        <f t="shared" si="16"/>
        <v>6</v>
      </c>
      <c r="G425" s="14">
        <v>1</v>
      </c>
      <c r="H425" s="14">
        <v>0.57999999999999996</v>
      </c>
      <c r="I425" s="14">
        <v>1</v>
      </c>
      <c r="J425" s="14">
        <v>1</v>
      </c>
      <c r="K425" s="14">
        <v>0.54</v>
      </c>
      <c r="L425" s="14">
        <v>1</v>
      </c>
      <c r="M425" s="15">
        <v>300.38200000000001</v>
      </c>
      <c r="N425" s="16" t="str">
        <f t="shared" si="18"/>
        <v>NW</v>
      </c>
      <c r="O425" s="17">
        <v>6.1</v>
      </c>
      <c r="P425" s="16" t="s">
        <v>137</v>
      </c>
      <c r="Q425" s="18">
        <v>0</v>
      </c>
      <c r="R425" s="19">
        <v>17.809999999999999</v>
      </c>
      <c r="S425" s="19">
        <v>12.8</v>
      </c>
      <c r="T425" s="19">
        <v>22.7</v>
      </c>
      <c r="U425" s="20">
        <v>295.72000000000003</v>
      </c>
      <c r="V425" s="16" t="s">
        <v>6</v>
      </c>
      <c r="W425" s="21">
        <v>0</v>
      </c>
      <c r="X425" s="21">
        <v>0</v>
      </c>
      <c r="Y425" s="21">
        <v>0</v>
      </c>
      <c r="Z425" s="21">
        <v>0</v>
      </c>
      <c r="AA425" s="21">
        <v>0</v>
      </c>
      <c r="AB425" s="21">
        <v>0</v>
      </c>
      <c r="AC425" s="21">
        <v>0.46</v>
      </c>
      <c r="AD425" s="21">
        <v>0.54</v>
      </c>
      <c r="AE425" s="21">
        <v>6.95</v>
      </c>
      <c r="AF425" s="21">
        <v>6.7</v>
      </c>
      <c r="AG425" s="21">
        <v>15.4</v>
      </c>
      <c r="AH425" s="18" t="s">
        <v>28</v>
      </c>
      <c r="AI425" s="13" t="str">
        <f>VLOOKUP(AH425,'Hess and Brezowsky'!$B$2:$G$31,2,FALSE)</f>
        <v>Zonal</v>
      </c>
      <c r="AJ425" s="18" t="str">
        <f>VLOOKUP(AH425,'Hess and Brezowsky'!$B$2:$G$31,3,FALSE)</f>
        <v>C</v>
      </c>
      <c r="AK425" s="13" t="str">
        <f>VLOOKUP(AH425,'Hess and Brezowsky'!$B$2:$G$31,4,FALSE)</f>
        <v>Cyclonic Westerly</v>
      </c>
      <c r="AL425" s="29">
        <v>0.18934027777777779</v>
      </c>
      <c r="AM425" s="29">
        <v>0.49841435185185184</v>
      </c>
      <c r="AN425" s="30">
        <v>0.80748842592592596</v>
      </c>
    </row>
    <row r="426" spans="1:40" ht="15.75" customHeight="1" x14ac:dyDescent="0.2">
      <c r="A426" s="27">
        <v>45146</v>
      </c>
      <c r="B426" s="13">
        <v>2023</v>
      </c>
      <c r="C426" s="13">
        <v>220</v>
      </c>
      <c r="D426" s="13">
        <f t="shared" si="17"/>
        <v>3</v>
      </c>
      <c r="E426" s="31" t="s">
        <v>45</v>
      </c>
      <c r="F426" s="13">
        <f t="shared" si="16"/>
        <v>6</v>
      </c>
      <c r="G426" s="14">
        <v>1</v>
      </c>
      <c r="H426" s="14">
        <v>1</v>
      </c>
      <c r="I426" s="14">
        <v>1</v>
      </c>
      <c r="J426" s="14">
        <v>1</v>
      </c>
      <c r="K426" s="14">
        <v>1</v>
      </c>
      <c r="L426" s="14">
        <v>1</v>
      </c>
      <c r="M426" s="15">
        <v>268.70299999999997</v>
      </c>
      <c r="N426" s="16" t="str">
        <f t="shared" si="18"/>
        <v>W</v>
      </c>
      <c r="O426" s="17">
        <v>5.3</v>
      </c>
      <c r="P426" s="16" t="s">
        <v>137</v>
      </c>
      <c r="Q426" s="18">
        <v>0</v>
      </c>
      <c r="R426" s="19">
        <v>19.7</v>
      </c>
      <c r="S426" s="19">
        <v>15.4</v>
      </c>
      <c r="T426" s="19">
        <v>24.1</v>
      </c>
      <c r="U426" s="20">
        <v>267.95999999999998</v>
      </c>
      <c r="V426" s="16" t="s">
        <v>16</v>
      </c>
      <c r="W426" s="21">
        <v>0</v>
      </c>
      <c r="X426" s="21">
        <v>0</v>
      </c>
      <c r="Y426" s="21">
        <v>0</v>
      </c>
      <c r="Z426" s="21">
        <v>0</v>
      </c>
      <c r="AA426" s="21">
        <v>0</v>
      </c>
      <c r="AB426" s="21">
        <v>0.08</v>
      </c>
      <c r="AC426" s="21">
        <v>0.83</v>
      </c>
      <c r="AD426" s="21">
        <v>0.08</v>
      </c>
      <c r="AE426" s="21">
        <v>5.6</v>
      </c>
      <c r="AF426" s="21">
        <v>5.4</v>
      </c>
      <c r="AG426" s="21">
        <v>9.8000000000000007</v>
      </c>
      <c r="AH426" s="18" t="s">
        <v>28</v>
      </c>
      <c r="AI426" s="13" t="str">
        <f>VLOOKUP(AH426,'Hess and Brezowsky'!$B$2:$G$31,2,FALSE)</f>
        <v>Zonal</v>
      </c>
      <c r="AJ426" s="18" t="str">
        <f>VLOOKUP(AH426,'Hess and Brezowsky'!$B$2:$G$31,3,FALSE)</f>
        <v>C</v>
      </c>
      <c r="AK426" s="13" t="str">
        <f>VLOOKUP(AH426,'Hess and Brezowsky'!$B$2:$G$31,4,FALSE)</f>
        <v>Cyclonic Westerly</v>
      </c>
      <c r="AL426" s="29">
        <v>0.1903125</v>
      </c>
      <c r="AM426" s="29">
        <v>0.49834490740740739</v>
      </c>
      <c r="AN426" s="30">
        <v>0.80637731481481478</v>
      </c>
    </row>
    <row r="427" spans="1:40" ht="15.75" customHeight="1" x14ac:dyDescent="0.2">
      <c r="A427" s="27">
        <v>45147</v>
      </c>
      <c r="B427" s="13">
        <v>2023</v>
      </c>
      <c r="C427" s="13">
        <v>221</v>
      </c>
      <c r="D427" s="13">
        <f t="shared" si="17"/>
        <v>4</v>
      </c>
      <c r="E427" s="31" t="s">
        <v>45</v>
      </c>
      <c r="F427" s="13">
        <f t="shared" si="16"/>
        <v>6</v>
      </c>
      <c r="G427" s="14">
        <v>1</v>
      </c>
      <c r="H427" s="14">
        <v>1</v>
      </c>
      <c r="I427" s="14">
        <v>1</v>
      </c>
      <c r="J427" s="14">
        <v>1</v>
      </c>
      <c r="K427" s="14">
        <v>1</v>
      </c>
      <c r="L427" s="14">
        <v>1</v>
      </c>
      <c r="M427" s="15">
        <v>302.11900000000003</v>
      </c>
      <c r="N427" s="16" t="str">
        <f t="shared" si="18"/>
        <v>NW</v>
      </c>
      <c r="O427" s="17">
        <v>4</v>
      </c>
      <c r="P427" s="16" t="s">
        <v>137</v>
      </c>
      <c r="Q427" s="18">
        <v>0</v>
      </c>
      <c r="R427" s="19">
        <v>20.02</v>
      </c>
      <c r="S427" s="19">
        <v>17.100000000000001</v>
      </c>
      <c r="T427" s="19">
        <v>24.9</v>
      </c>
      <c r="U427" s="20">
        <v>293.97000000000003</v>
      </c>
      <c r="V427" s="16" t="s">
        <v>6</v>
      </c>
      <c r="W427" s="21">
        <v>0.04</v>
      </c>
      <c r="X427" s="21">
        <v>0.08</v>
      </c>
      <c r="Y427" s="21">
        <v>0.08</v>
      </c>
      <c r="Z427" s="21">
        <v>0</v>
      </c>
      <c r="AA427" s="21">
        <v>0</v>
      </c>
      <c r="AB427" s="21">
        <v>0</v>
      </c>
      <c r="AC427" s="21">
        <v>0.5</v>
      </c>
      <c r="AD427" s="21">
        <v>0.28999999999999998</v>
      </c>
      <c r="AE427" s="21">
        <v>4.47</v>
      </c>
      <c r="AF427" s="21">
        <v>3.56</v>
      </c>
      <c r="AG427" s="21">
        <v>10.9</v>
      </c>
      <c r="AH427" s="18" t="s">
        <v>28</v>
      </c>
      <c r="AI427" s="13" t="str">
        <f>VLOOKUP(AH427,'Hess and Brezowsky'!$B$2:$G$31,2,FALSE)</f>
        <v>Zonal</v>
      </c>
      <c r="AJ427" s="18" t="str">
        <f>VLOOKUP(AH427,'Hess and Brezowsky'!$B$2:$G$31,3,FALSE)</f>
        <v>C</v>
      </c>
      <c r="AK427" s="13" t="str">
        <f>VLOOKUP(AH427,'Hess and Brezowsky'!$B$2:$G$31,4,FALSE)</f>
        <v>Cyclonic Westerly</v>
      </c>
      <c r="AL427" s="29">
        <v>0.19128472222222223</v>
      </c>
      <c r="AM427" s="29">
        <v>0.4982638888888889</v>
      </c>
      <c r="AN427" s="30">
        <v>0.80524305555555553</v>
      </c>
    </row>
    <row r="428" spans="1:40" ht="15.75" customHeight="1" x14ac:dyDescent="0.2">
      <c r="A428" s="27">
        <v>45148</v>
      </c>
      <c r="B428" s="13">
        <v>2023</v>
      </c>
      <c r="C428" s="13">
        <v>222</v>
      </c>
      <c r="D428" s="13">
        <f t="shared" si="17"/>
        <v>5</v>
      </c>
      <c r="E428" s="31" t="s">
        <v>45</v>
      </c>
      <c r="F428" s="13">
        <f t="shared" si="16"/>
        <v>6</v>
      </c>
      <c r="G428" s="14">
        <v>0.87</v>
      </c>
      <c r="H428" s="14">
        <v>1</v>
      </c>
      <c r="I428" s="14">
        <v>1</v>
      </c>
      <c r="J428" s="14">
        <v>1</v>
      </c>
      <c r="K428" s="14">
        <v>1</v>
      </c>
      <c r="L428" s="14">
        <v>1</v>
      </c>
      <c r="M428" s="15">
        <v>124.925</v>
      </c>
      <c r="N428" s="16" t="str">
        <f t="shared" si="18"/>
        <v>SE</v>
      </c>
      <c r="O428" s="17">
        <v>4.7</v>
      </c>
      <c r="P428" s="16" t="s">
        <v>137</v>
      </c>
      <c r="Q428" s="18">
        <v>0</v>
      </c>
      <c r="R428" s="19">
        <v>22.47</v>
      </c>
      <c r="S428" s="19">
        <v>16</v>
      </c>
      <c r="T428" s="19">
        <v>28.9</v>
      </c>
      <c r="U428" s="20">
        <v>127.27</v>
      </c>
      <c r="V428" s="16" t="s">
        <v>11</v>
      </c>
      <c r="W428" s="21">
        <v>0</v>
      </c>
      <c r="X428" s="21">
        <v>0</v>
      </c>
      <c r="Y428" s="21">
        <v>0.25</v>
      </c>
      <c r="Z428" s="21">
        <v>0.62</v>
      </c>
      <c r="AA428" s="21">
        <v>0.12</v>
      </c>
      <c r="AB428" s="21">
        <v>0</v>
      </c>
      <c r="AC428" s="21">
        <v>0</v>
      </c>
      <c r="AD428" s="21">
        <v>0</v>
      </c>
      <c r="AE428" s="21">
        <v>4.97</v>
      </c>
      <c r="AF428" s="21">
        <v>4.68</v>
      </c>
      <c r="AG428" s="21">
        <v>8.4</v>
      </c>
      <c r="AH428" s="18" t="s">
        <v>12</v>
      </c>
      <c r="AI428" s="13" t="str">
        <f>VLOOKUP(AH428,'Hess and Brezowsky'!$B$2:$G$31,2,FALSE)</f>
        <v>Undefined</v>
      </c>
      <c r="AJ428" s="18" t="str">
        <f>VLOOKUP(AH428,'Hess and Brezowsky'!$B$2:$G$31,3,FALSE)</f>
        <v>M</v>
      </c>
      <c r="AK428" s="13" t="str">
        <f>VLOOKUP(AH428,'Hess and Brezowsky'!$B$2:$G$31,4,FALSE)</f>
        <v>Transistion / Undefined</v>
      </c>
      <c r="AL428" s="29">
        <v>0.19225694444444444</v>
      </c>
      <c r="AM428" s="29">
        <v>0.49817129629629631</v>
      </c>
      <c r="AN428" s="30">
        <v>0.8040856481481482</v>
      </c>
    </row>
    <row r="429" spans="1:40" ht="15.75" customHeight="1" x14ac:dyDescent="0.2">
      <c r="A429" s="27">
        <v>45149</v>
      </c>
      <c r="B429" s="13">
        <v>2023</v>
      </c>
      <c r="C429" s="13">
        <v>223</v>
      </c>
      <c r="D429" s="13">
        <f t="shared" si="17"/>
        <v>6</v>
      </c>
      <c r="E429" s="31" t="s">
        <v>45</v>
      </c>
      <c r="F429" s="13">
        <f t="shared" si="16"/>
        <v>6</v>
      </c>
      <c r="G429" s="14">
        <v>1</v>
      </c>
      <c r="H429" s="14">
        <v>1</v>
      </c>
      <c r="I429" s="14">
        <v>1</v>
      </c>
      <c r="J429" s="14">
        <v>1</v>
      </c>
      <c r="K429" s="14">
        <v>1</v>
      </c>
      <c r="L429" s="14">
        <v>0.91</v>
      </c>
      <c r="M429" s="15">
        <v>227.661</v>
      </c>
      <c r="N429" s="16" t="str">
        <f t="shared" si="18"/>
        <v>SW</v>
      </c>
      <c r="O429" s="17">
        <v>5.3</v>
      </c>
      <c r="P429" s="16" t="s">
        <v>137</v>
      </c>
      <c r="Q429" s="18">
        <v>3.4</v>
      </c>
      <c r="R429" s="19">
        <v>21.8</v>
      </c>
      <c r="S429" s="19">
        <v>18</v>
      </c>
      <c r="T429" s="19">
        <v>27.1</v>
      </c>
      <c r="U429" s="20">
        <v>228.48</v>
      </c>
      <c r="V429" s="16" t="s">
        <v>5</v>
      </c>
      <c r="W429" s="21">
        <v>0</v>
      </c>
      <c r="X429" s="21">
        <v>0</v>
      </c>
      <c r="Y429" s="21">
        <v>0</v>
      </c>
      <c r="Z429" s="21">
        <v>0</v>
      </c>
      <c r="AA429" s="21">
        <v>0.25</v>
      </c>
      <c r="AB429" s="21">
        <v>0.21</v>
      </c>
      <c r="AC429" s="21">
        <v>0.54</v>
      </c>
      <c r="AD429" s="21">
        <v>0</v>
      </c>
      <c r="AE429" s="21">
        <v>4.97</v>
      </c>
      <c r="AF429" s="21">
        <v>4.13</v>
      </c>
      <c r="AG429" s="21">
        <v>8.6</v>
      </c>
      <c r="AH429" s="18" t="s">
        <v>32</v>
      </c>
      <c r="AI429" s="13" t="str">
        <f>VLOOKUP(AH429,'Hess and Brezowsky'!$B$2:$G$31,2,FALSE)</f>
        <v>Mixed</v>
      </c>
      <c r="AJ429" s="18" t="str">
        <f>VLOOKUP(AH429,'Hess and Brezowsky'!$B$2:$G$31,3,FALSE)</f>
        <v>A</v>
      </c>
      <c r="AK429" s="13" t="str">
        <f>VLOOKUP(AH429,'Hess and Brezowsky'!$B$2:$G$31,4,FALSE)</f>
        <v>Anticyclonic South-Westerly</v>
      </c>
      <c r="AL429" s="29">
        <v>0.19322916666666667</v>
      </c>
      <c r="AM429" s="29">
        <v>0.49807870370370372</v>
      </c>
      <c r="AN429" s="30">
        <v>0.80291666666666661</v>
      </c>
    </row>
    <row r="430" spans="1:40" ht="15.75" customHeight="1" x14ac:dyDescent="0.2">
      <c r="A430" s="27">
        <v>45150</v>
      </c>
      <c r="B430" s="13">
        <v>2023</v>
      </c>
      <c r="C430" s="13">
        <v>224</v>
      </c>
      <c r="D430" s="13">
        <f t="shared" si="17"/>
        <v>7</v>
      </c>
      <c r="E430" s="31" t="s">
        <v>45</v>
      </c>
      <c r="F430" s="13">
        <f t="shared" si="16"/>
        <v>6</v>
      </c>
      <c r="G430" s="14">
        <v>1</v>
      </c>
      <c r="H430" s="14">
        <v>1</v>
      </c>
      <c r="I430" s="14">
        <v>1</v>
      </c>
      <c r="J430" s="14">
        <v>1</v>
      </c>
      <c r="K430" s="14">
        <v>1</v>
      </c>
      <c r="L430" s="14">
        <v>0.95</v>
      </c>
      <c r="M430" s="15">
        <v>251.03100000000001</v>
      </c>
      <c r="N430" s="16" t="str">
        <f t="shared" si="18"/>
        <v>W</v>
      </c>
      <c r="O430" s="17">
        <v>6.1</v>
      </c>
      <c r="P430" s="16" t="s">
        <v>137</v>
      </c>
      <c r="Q430" s="18">
        <v>10.5</v>
      </c>
      <c r="R430" s="19">
        <v>21.31</v>
      </c>
      <c r="S430" s="19">
        <v>18.100000000000001</v>
      </c>
      <c r="T430" s="19">
        <v>26.5</v>
      </c>
      <c r="U430" s="20">
        <v>252.85</v>
      </c>
      <c r="V430" s="16" t="s">
        <v>16</v>
      </c>
      <c r="W430" s="21">
        <v>0</v>
      </c>
      <c r="X430" s="21">
        <v>0</v>
      </c>
      <c r="Y430" s="21">
        <v>0</v>
      </c>
      <c r="Z430" s="21">
        <v>0</v>
      </c>
      <c r="AA430" s="21">
        <v>0</v>
      </c>
      <c r="AB430" s="21">
        <v>0.46</v>
      </c>
      <c r="AC430" s="21">
        <v>0.5</v>
      </c>
      <c r="AD430" s="21">
        <v>0.04</v>
      </c>
      <c r="AE430" s="21">
        <v>6.53</v>
      </c>
      <c r="AF430" s="21">
        <v>6.17</v>
      </c>
      <c r="AG430" s="21">
        <v>11.1</v>
      </c>
      <c r="AH430" s="18" t="s">
        <v>32</v>
      </c>
      <c r="AI430" s="13" t="str">
        <f>VLOOKUP(AH430,'Hess and Brezowsky'!$B$2:$G$31,2,FALSE)</f>
        <v>Mixed</v>
      </c>
      <c r="AJ430" s="18" t="str">
        <f>VLOOKUP(AH430,'Hess and Brezowsky'!$B$2:$G$31,3,FALSE)</f>
        <v>A</v>
      </c>
      <c r="AK430" s="13" t="str">
        <f>VLOOKUP(AH430,'Hess and Brezowsky'!$B$2:$G$31,4,FALSE)</f>
        <v>Anticyclonic South-Westerly</v>
      </c>
      <c r="AL430" s="29">
        <v>0.19421296296296298</v>
      </c>
      <c r="AM430" s="29">
        <v>0.49797453703703703</v>
      </c>
      <c r="AN430" s="30">
        <v>0.80173611111111109</v>
      </c>
    </row>
    <row r="431" spans="1:40" ht="15.75" customHeight="1" x14ac:dyDescent="0.2">
      <c r="A431" s="27">
        <v>45151</v>
      </c>
      <c r="B431" s="13">
        <v>2023</v>
      </c>
      <c r="C431" s="13">
        <v>225</v>
      </c>
      <c r="D431" s="13">
        <f t="shared" si="17"/>
        <v>1</v>
      </c>
      <c r="E431" s="31" t="s">
        <v>45</v>
      </c>
      <c r="F431" s="13">
        <f t="shared" si="16"/>
        <v>6</v>
      </c>
      <c r="G431" s="14">
        <v>1</v>
      </c>
      <c r="H431" s="14">
        <v>1</v>
      </c>
      <c r="I431" s="14">
        <v>1</v>
      </c>
      <c r="J431" s="14">
        <v>1</v>
      </c>
      <c r="K431" s="14">
        <v>1</v>
      </c>
      <c r="L431" s="14">
        <v>1</v>
      </c>
      <c r="M431" s="15">
        <v>248.167</v>
      </c>
      <c r="N431" s="16" t="str">
        <f t="shared" si="18"/>
        <v>W</v>
      </c>
      <c r="O431" s="17">
        <v>4.5999999999999996</v>
      </c>
      <c r="P431" s="16" t="s">
        <v>137</v>
      </c>
      <c r="Q431" s="18">
        <v>0</v>
      </c>
      <c r="R431" s="19">
        <v>20.309999999999999</v>
      </c>
      <c r="S431" s="19">
        <v>16.399999999999999</v>
      </c>
      <c r="T431" s="19">
        <v>24.8</v>
      </c>
      <c r="U431" s="20">
        <v>246.66</v>
      </c>
      <c r="V431" s="16" t="s">
        <v>5</v>
      </c>
      <c r="W431" s="21">
        <v>0</v>
      </c>
      <c r="X431" s="21">
        <v>0</v>
      </c>
      <c r="Y431" s="21">
        <v>0</v>
      </c>
      <c r="Z431" s="21">
        <v>0.04</v>
      </c>
      <c r="AA431" s="21">
        <v>0.04</v>
      </c>
      <c r="AB431" s="21">
        <v>0.5</v>
      </c>
      <c r="AC431" s="21">
        <v>0.42</v>
      </c>
      <c r="AD431" s="21">
        <v>0</v>
      </c>
      <c r="AE431" s="21">
        <v>4.2</v>
      </c>
      <c r="AF431" s="21">
        <v>3.91</v>
      </c>
      <c r="AG431" s="21">
        <v>8.9</v>
      </c>
      <c r="AH431" s="18" t="s">
        <v>32</v>
      </c>
      <c r="AI431" s="13" t="str">
        <f>VLOOKUP(AH431,'Hess and Brezowsky'!$B$2:$G$31,2,FALSE)</f>
        <v>Mixed</v>
      </c>
      <c r="AJ431" s="18" t="str">
        <f>VLOOKUP(AH431,'Hess and Brezowsky'!$B$2:$G$31,3,FALSE)</f>
        <v>A</v>
      </c>
      <c r="AK431" s="13" t="str">
        <f>VLOOKUP(AH431,'Hess and Brezowsky'!$B$2:$G$31,4,FALSE)</f>
        <v>Anticyclonic South-Westerly</v>
      </c>
      <c r="AL431" s="29">
        <v>0.19519675925925925</v>
      </c>
      <c r="AM431" s="29">
        <v>0.49787037037037035</v>
      </c>
      <c r="AN431" s="30">
        <v>0.80053240740740739</v>
      </c>
    </row>
    <row r="432" spans="1:40" ht="15.75" customHeight="1" x14ac:dyDescent="0.2">
      <c r="A432" s="27">
        <v>45152</v>
      </c>
      <c r="B432" s="13">
        <v>2023</v>
      </c>
      <c r="C432" s="13">
        <v>226</v>
      </c>
      <c r="D432" s="13">
        <f t="shared" si="17"/>
        <v>2</v>
      </c>
      <c r="E432" s="31" t="s">
        <v>45</v>
      </c>
      <c r="F432" s="13">
        <f t="shared" si="16"/>
        <v>6</v>
      </c>
      <c r="G432" s="14">
        <v>1</v>
      </c>
      <c r="H432" s="14">
        <v>1</v>
      </c>
      <c r="I432" s="14">
        <v>1</v>
      </c>
      <c r="J432" s="14">
        <v>1</v>
      </c>
      <c r="K432" s="14">
        <v>1</v>
      </c>
      <c r="L432" s="14">
        <v>0.95</v>
      </c>
      <c r="M432" s="15">
        <v>196.49</v>
      </c>
      <c r="N432" s="16" t="str">
        <f t="shared" si="18"/>
        <v>S</v>
      </c>
      <c r="O432" s="17">
        <v>7</v>
      </c>
      <c r="P432" s="16" t="s">
        <v>137</v>
      </c>
      <c r="Q432" s="18">
        <v>1.8</v>
      </c>
      <c r="R432" s="19">
        <v>21.43</v>
      </c>
      <c r="S432" s="19">
        <v>16</v>
      </c>
      <c r="T432" s="19">
        <v>28.9</v>
      </c>
      <c r="U432" s="20">
        <v>191.39</v>
      </c>
      <c r="V432" s="16" t="s">
        <v>13</v>
      </c>
      <c r="W432" s="21">
        <v>0</v>
      </c>
      <c r="X432" s="21">
        <v>0</v>
      </c>
      <c r="Y432" s="21">
        <v>0</v>
      </c>
      <c r="Z432" s="21">
        <v>0.38</v>
      </c>
      <c r="AA432" s="21">
        <v>0.17</v>
      </c>
      <c r="AB432" s="21">
        <v>0.33</v>
      </c>
      <c r="AC432" s="21">
        <v>0.12</v>
      </c>
      <c r="AD432" s="21">
        <v>0</v>
      </c>
      <c r="AE432" s="21">
        <v>6.67</v>
      </c>
      <c r="AF432" s="21">
        <v>5.07</v>
      </c>
      <c r="AG432" s="21">
        <v>10.3</v>
      </c>
      <c r="AH432" s="18" t="s">
        <v>23</v>
      </c>
      <c r="AI432" s="13" t="str">
        <f>VLOOKUP(AH432,'Hess and Brezowsky'!$B$2:$G$31,2,FALSE)</f>
        <v>Meridional</v>
      </c>
      <c r="AJ432" s="18" t="str">
        <f>VLOOKUP(AH432,'Hess and Brezowsky'!$B$2:$G$31,3,FALSE)</f>
        <v>M</v>
      </c>
      <c r="AK432" s="13" t="str">
        <f>VLOOKUP(AH432,'Hess and Brezowsky'!$B$2:$G$31,4,FALSE)</f>
        <v>Trough over Wester Europe</v>
      </c>
      <c r="AL432" s="29">
        <v>0.19618055555555555</v>
      </c>
      <c r="AM432" s="29">
        <v>0.49775462962962963</v>
      </c>
      <c r="AN432" s="30">
        <v>0.79931712962962964</v>
      </c>
    </row>
    <row r="433" spans="1:40" ht="15.75" customHeight="1" x14ac:dyDescent="0.2">
      <c r="A433" s="27">
        <v>45153</v>
      </c>
      <c r="B433" s="13">
        <v>2023</v>
      </c>
      <c r="C433" s="13">
        <v>227</v>
      </c>
      <c r="D433" s="13">
        <f t="shared" si="17"/>
        <v>3</v>
      </c>
      <c r="E433" s="31" t="s">
        <v>45</v>
      </c>
      <c r="F433" s="13">
        <f t="shared" si="16"/>
        <v>6</v>
      </c>
      <c r="G433" s="14">
        <v>1</v>
      </c>
      <c r="H433" s="14">
        <v>1</v>
      </c>
      <c r="I433" s="14">
        <v>1</v>
      </c>
      <c r="J433" s="14">
        <v>1</v>
      </c>
      <c r="K433" s="14">
        <v>1</v>
      </c>
      <c r="L433" s="14">
        <v>1</v>
      </c>
      <c r="M433" s="15">
        <v>305.75700000000001</v>
      </c>
      <c r="N433" s="16" t="str">
        <f t="shared" si="18"/>
        <v>NW</v>
      </c>
      <c r="O433" s="17">
        <v>4.5</v>
      </c>
      <c r="P433" s="16" t="s">
        <v>137</v>
      </c>
      <c r="Q433" s="18">
        <v>0</v>
      </c>
      <c r="R433" s="19">
        <v>21.29</v>
      </c>
      <c r="S433" s="19">
        <v>17.7</v>
      </c>
      <c r="T433" s="19">
        <v>25.1</v>
      </c>
      <c r="U433" s="20">
        <v>297.83</v>
      </c>
      <c r="V433" s="16" t="s">
        <v>6</v>
      </c>
      <c r="W433" s="21">
        <v>0.08</v>
      </c>
      <c r="X433" s="21">
        <v>0.08</v>
      </c>
      <c r="Y433" s="21">
        <v>0</v>
      </c>
      <c r="Z433" s="21">
        <v>0</v>
      </c>
      <c r="AA433" s="21">
        <v>0</v>
      </c>
      <c r="AB433" s="21">
        <v>0</v>
      </c>
      <c r="AC433" s="21">
        <v>0.62</v>
      </c>
      <c r="AD433" s="21">
        <v>0.21</v>
      </c>
      <c r="AE433" s="21">
        <v>4.63</v>
      </c>
      <c r="AF433" s="21">
        <v>3.43</v>
      </c>
      <c r="AG433" s="21">
        <v>10.8</v>
      </c>
      <c r="AH433" s="18" t="s">
        <v>23</v>
      </c>
      <c r="AI433" s="13" t="str">
        <f>VLOOKUP(AH433,'Hess and Brezowsky'!$B$2:$G$31,2,FALSE)</f>
        <v>Meridional</v>
      </c>
      <c r="AJ433" s="18" t="str">
        <f>VLOOKUP(AH433,'Hess and Brezowsky'!$B$2:$G$31,3,FALSE)</f>
        <v>M</v>
      </c>
      <c r="AK433" s="13" t="str">
        <f>VLOOKUP(AH433,'Hess and Brezowsky'!$B$2:$G$31,4,FALSE)</f>
        <v>Trough over Wester Europe</v>
      </c>
      <c r="AL433" s="29">
        <v>0.19716435185185185</v>
      </c>
      <c r="AM433" s="29">
        <v>0.49762731481481481</v>
      </c>
      <c r="AN433" s="30">
        <v>0.79809027777777775</v>
      </c>
    </row>
    <row r="434" spans="1:40" ht="15.75" customHeight="1" x14ac:dyDescent="0.2">
      <c r="A434" s="27">
        <v>45154</v>
      </c>
      <c r="B434" s="13">
        <v>2023</v>
      </c>
      <c r="C434" s="13">
        <v>228</v>
      </c>
      <c r="D434" s="13">
        <f t="shared" si="17"/>
        <v>4</v>
      </c>
      <c r="E434" s="31" t="s">
        <v>45</v>
      </c>
      <c r="F434" s="13">
        <f t="shared" si="16"/>
        <v>6</v>
      </c>
      <c r="G434" s="14">
        <v>1</v>
      </c>
      <c r="H434" s="14">
        <v>1</v>
      </c>
      <c r="I434" s="14">
        <v>1</v>
      </c>
      <c r="J434" s="14">
        <v>1</v>
      </c>
      <c r="K434" s="14">
        <v>1</v>
      </c>
      <c r="L434" s="14">
        <v>1</v>
      </c>
      <c r="M434" s="15">
        <v>47.274999999999999</v>
      </c>
      <c r="N434" s="16" t="str">
        <f t="shared" si="18"/>
        <v>NE</v>
      </c>
      <c r="O434" s="17">
        <v>5.4</v>
      </c>
      <c r="P434" s="16" t="s">
        <v>137</v>
      </c>
      <c r="Q434" s="18">
        <v>0</v>
      </c>
      <c r="R434" s="19">
        <v>22.52</v>
      </c>
      <c r="S434" s="19">
        <v>17.899999999999999</v>
      </c>
      <c r="T434" s="19">
        <v>27.8</v>
      </c>
      <c r="U434" s="20">
        <v>45.62</v>
      </c>
      <c r="V434" s="16" t="s">
        <v>10</v>
      </c>
      <c r="W434" s="21">
        <v>0</v>
      </c>
      <c r="X434" s="21">
        <v>1</v>
      </c>
      <c r="Y434" s="21">
        <v>0</v>
      </c>
      <c r="Z434" s="21">
        <v>0</v>
      </c>
      <c r="AA434" s="21">
        <v>0</v>
      </c>
      <c r="AB434" s="21">
        <v>0</v>
      </c>
      <c r="AC434" s="21">
        <v>0</v>
      </c>
      <c r="AD434" s="21">
        <v>0</v>
      </c>
      <c r="AE434" s="21">
        <v>5.39</v>
      </c>
      <c r="AF434" s="21">
        <v>5.3</v>
      </c>
      <c r="AG434" s="21">
        <v>11.2</v>
      </c>
      <c r="AH434" s="18" t="s">
        <v>23</v>
      </c>
      <c r="AI434" s="13" t="str">
        <f>VLOOKUP(AH434,'Hess and Brezowsky'!$B$2:$G$31,2,FALSE)</f>
        <v>Meridional</v>
      </c>
      <c r="AJ434" s="18" t="str">
        <f>VLOOKUP(AH434,'Hess and Brezowsky'!$B$2:$G$31,3,FALSE)</f>
        <v>M</v>
      </c>
      <c r="AK434" s="13" t="str">
        <f>VLOOKUP(AH434,'Hess and Brezowsky'!$B$2:$G$31,4,FALSE)</f>
        <v>Trough over Wester Europe</v>
      </c>
      <c r="AL434" s="29">
        <v>0.19814814814814816</v>
      </c>
      <c r="AM434" s="29">
        <v>0.4975</v>
      </c>
      <c r="AN434" s="30">
        <v>0.79685185185185181</v>
      </c>
    </row>
    <row r="435" spans="1:40" ht="15.75" customHeight="1" x14ac:dyDescent="0.2">
      <c r="A435" s="27">
        <v>45155</v>
      </c>
      <c r="B435" s="13">
        <v>2023</v>
      </c>
      <c r="C435" s="13">
        <v>229</v>
      </c>
      <c r="D435" s="13">
        <f t="shared" si="17"/>
        <v>5</v>
      </c>
      <c r="E435" s="31" t="s">
        <v>45</v>
      </c>
      <c r="F435" s="13">
        <f t="shared" si="16"/>
        <v>6</v>
      </c>
      <c r="G435" s="14">
        <v>0.91</v>
      </c>
      <c r="H435" s="14">
        <v>1</v>
      </c>
      <c r="I435" s="14">
        <v>1</v>
      </c>
      <c r="J435" s="14">
        <v>1</v>
      </c>
      <c r="K435" s="14">
        <v>1</v>
      </c>
      <c r="L435" s="14">
        <v>1</v>
      </c>
      <c r="M435" s="15">
        <v>57.93</v>
      </c>
      <c r="N435" s="16" t="str">
        <f t="shared" si="18"/>
        <v>NE</v>
      </c>
      <c r="O435" s="17">
        <v>5.6</v>
      </c>
      <c r="P435" s="16" t="s">
        <v>138</v>
      </c>
      <c r="Q435" s="18">
        <v>0</v>
      </c>
      <c r="R435" s="19">
        <v>23.88</v>
      </c>
      <c r="S435" s="19">
        <v>18.600000000000001</v>
      </c>
      <c r="T435" s="19">
        <v>29.2</v>
      </c>
      <c r="U435" s="20">
        <v>62.38</v>
      </c>
      <c r="V435" s="16" t="s">
        <v>10</v>
      </c>
      <c r="W435" s="21">
        <v>0</v>
      </c>
      <c r="X435" s="21">
        <v>0.71</v>
      </c>
      <c r="Y435" s="21">
        <v>0.28999999999999998</v>
      </c>
      <c r="Z435" s="21">
        <v>0</v>
      </c>
      <c r="AA435" s="21">
        <v>0</v>
      </c>
      <c r="AB435" s="21">
        <v>0</v>
      </c>
      <c r="AC435" s="21">
        <v>0</v>
      </c>
      <c r="AD435" s="21">
        <v>0</v>
      </c>
      <c r="AE435" s="21">
        <v>5.9</v>
      </c>
      <c r="AF435" s="21">
        <v>5.85</v>
      </c>
      <c r="AG435" s="21">
        <v>9.5</v>
      </c>
      <c r="AH435" s="18" t="s">
        <v>17</v>
      </c>
      <c r="AI435" s="13" t="str">
        <f>VLOOKUP(AH435,'Hess and Brezowsky'!$B$2:$G$31,2,FALSE)</f>
        <v>Meridional</v>
      </c>
      <c r="AJ435" s="18" t="str">
        <f>VLOOKUP(AH435,'Hess and Brezowsky'!$B$2:$G$31,3,FALSE)</f>
        <v>C</v>
      </c>
      <c r="AK435" s="13" t="str">
        <f>VLOOKUP(AH435,'Hess and Brezowsky'!$B$2:$G$31,4,FALSE)</f>
        <v>Scandinavian High, Trough Central Europe</v>
      </c>
      <c r="AL435" s="29">
        <v>0.19913194444444443</v>
      </c>
      <c r="AM435" s="29">
        <v>0.49736111111111109</v>
      </c>
      <c r="AN435" s="30">
        <v>0.7955902777777778</v>
      </c>
    </row>
    <row r="436" spans="1:40" ht="15.75" customHeight="1" x14ac:dyDescent="0.2">
      <c r="A436" s="27">
        <v>45156</v>
      </c>
      <c r="B436" s="13">
        <v>2023</v>
      </c>
      <c r="C436" s="13">
        <v>230</v>
      </c>
      <c r="D436" s="13">
        <f t="shared" si="17"/>
        <v>6</v>
      </c>
      <c r="E436" s="31" t="s">
        <v>45</v>
      </c>
      <c r="F436" s="13">
        <f t="shared" si="16"/>
        <v>6</v>
      </c>
      <c r="G436" s="14">
        <v>0.91</v>
      </c>
      <c r="H436" s="14">
        <v>1</v>
      </c>
      <c r="I436" s="14">
        <v>1</v>
      </c>
      <c r="J436" s="14">
        <v>1</v>
      </c>
      <c r="K436" s="14">
        <v>1</v>
      </c>
      <c r="L436" s="14">
        <v>1</v>
      </c>
      <c r="M436" s="15">
        <v>134.703</v>
      </c>
      <c r="N436" s="16" t="str">
        <f t="shared" si="18"/>
        <v>SE</v>
      </c>
      <c r="O436" s="17">
        <v>6</v>
      </c>
      <c r="P436" s="16" t="s">
        <v>137</v>
      </c>
      <c r="Q436" s="18">
        <v>0</v>
      </c>
      <c r="R436" s="19">
        <v>25.39</v>
      </c>
      <c r="S436" s="19">
        <v>19.5</v>
      </c>
      <c r="T436" s="19">
        <v>31.9</v>
      </c>
      <c r="U436" s="20">
        <v>139.59</v>
      </c>
      <c r="V436" s="16" t="s">
        <v>11</v>
      </c>
      <c r="W436" s="21">
        <v>0</v>
      </c>
      <c r="X436" s="21">
        <v>0</v>
      </c>
      <c r="Y436" s="21">
        <v>0.17</v>
      </c>
      <c r="Z436" s="21">
        <v>0.42</v>
      </c>
      <c r="AA436" s="21">
        <v>0.42</v>
      </c>
      <c r="AB436" s="21">
        <v>0</v>
      </c>
      <c r="AC436" s="21">
        <v>0</v>
      </c>
      <c r="AD436" s="21">
        <v>0</v>
      </c>
      <c r="AE436" s="21">
        <v>6.73</v>
      </c>
      <c r="AF436" s="21">
        <v>6.07</v>
      </c>
      <c r="AG436" s="21">
        <v>12.9</v>
      </c>
      <c r="AH436" s="18" t="s">
        <v>17</v>
      </c>
      <c r="AI436" s="13" t="str">
        <f>VLOOKUP(AH436,'Hess and Brezowsky'!$B$2:$G$31,2,FALSE)</f>
        <v>Meridional</v>
      </c>
      <c r="AJ436" s="18" t="str">
        <f>VLOOKUP(AH436,'Hess and Brezowsky'!$B$2:$G$31,3,FALSE)</f>
        <v>C</v>
      </c>
      <c r="AK436" s="13" t="str">
        <f>VLOOKUP(AH436,'Hess and Brezowsky'!$B$2:$G$31,4,FALSE)</f>
        <v>Scandinavian High, Trough Central Europe</v>
      </c>
      <c r="AL436" s="29">
        <v>0.20012731481481483</v>
      </c>
      <c r="AM436" s="29">
        <v>0.49722222222222223</v>
      </c>
      <c r="AN436" s="30">
        <v>0.79431712962962964</v>
      </c>
    </row>
    <row r="437" spans="1:40" ht="15.75" customHeight="1" x14ac:dyDescent="0.2">
      <c r="A437" s="27">
        <v>45157</v>
      </c>
      <c r="B437" s="13">
        <v>2023</v>
      </c>
      <c r="C437" s="13">
        <v>231</v>
      </c>
      <c r="D437" s="13">
        <f t="shared" si="17"/>
        <v>7</v>
      </c>
      <c r="E437" s="31" t="s">
        <v>45</v>
      </c>
      <c r="F437" s="13">
        <f t="shared" si="16"/>
        <v>6</v>
      </c>
      <c r="G437" s="14">
        <v>1</v>
      </c>
      <c r="H437" s="14">
        <v>1</v>
      </c>
      <c r="I437" s="14">
        <v>1</v>
      </c>
      <c r="J437" s="14">
        <v>1</v>
      </c>
      <c r="K437" s="14">
        <v>1</v>
      </c>
      <c r="L437" s="14">
        <v>0.83</v>
      </c>
      <c r="M437" s="15">
        <v>236.79499999999999</v>
      </c>
      <c r="N437" s="16" t="str">
        <f t="shared" si="18"/>
        <v>SW</v>
      </c>
      <c r="O437" s="17">
        <v>5.9</v>
      </c>
      <c r="P437" s="16" t="s">
        <v>137</v>
      </c>
      <c r="Q437" s="18">
        <v>2.2000000000000002</v>
      </c>
      <c r="R437" s="19">
        <v>23.96</v>
      </c>
      <c r="S437" s="19">
        <v>20.7</v>
      </c>
      <c r="T437" s="19">
        <v>27.4</v>
      </c>
      <c r="U437" s="20">
        <v>240.19</v>
      </c>
      <c r="V437" s="16" t="s">
        <v>5</v>
      </c>
      <c r="W437" s="21">
        <v>0.04</v>
      </c>
      <c r="X437" s="21">
        <v>0.04</v>
      </c>
      <c r="Y437" s="21">
        <v>0</v>
      </c>
      <c r="Z437" s="21">
        <v>0</v>
      </c>
      <c r="AA437" s="21">
        <v>0.21</v>
      </c>
      <c r="AB437" s="21">
        <v>0.42</v>
      </c>
      <c r="AC437" s="21">
        <v>0.28999999999999998</v>
      </c>
      <c r="AD437" s="21">
        <v>0</v>
      </c>
      <c r="AE437" s="21">
        <v>5.04</v>
      </c>
      <c r="AF437" s="21">
        <v>4.09</v>
      </c>
      <c r="AG437" s="21">
        <v>12.7</v>
      </c>
      <c r="AH437" s="18" t="s">
        <v>17</v>
      </c>
      <c r="AI437" s="13" t="str">
        <f>VLOOKUP(AH437,'Hess and Brezowsky'!$B$2:$G$31,2,FALSE)</f>
        <v>Meridional</v>
      </c>
      <c r="AJ437" s="18" t="str">
        <f>VLOOKUP(AH437,'Hess and Brezowsky'!$B$2:$G$31,3,FALSE)</f>
        <v>C</v>
      </c>
      <c r="AK437" s="13" t="str">
        <f>VLOOKUP(AH437,'Hess and Brezowsky'!$B$2:$G$31,4,FALSE)</f>
        <v>Scandinavian High, Trough Central Europe</v>
      </c>
      <c r="AL437" s="29">
        <v>0.2011111111111111</v>
      </c>
      <c r="AM437" s="29">
        <v>0.49707175925925928</v>
      </c>
      <c r="AN437" s="30">
        <v>0.79303240740740744</v>
      </c>
    </row>
    <row r="438" spans="1:40" ht="15.75" customHeight="1" x14ac:dyDescent="0.2">
      <c r="A438" s="27">
        <v>45158</v>
      </c>
      <c r="B438" s="13">
        <v>2023</v>
      </c>
      <c r="C438" s="13">
        <v>232</v>
      </c>
      <c r="D438" s="13">
        <f t="shared" si="17"/>
        <v>1</v>
      </c>
      <c r="E438" s="31" t="s">
        <v>45</v>
      </c>
      <c r="F438" s="13">
        <f t="shared" ref="F438:F501" si="19">IF(G438 &gt; 0.5,1,0)+IF(H438 &gt; 0.5,1,0)+IF(I438 &gt; 0.5,1,0)+IF(J438 &gt; 0.5,1,0)+IF(K438 &gt; 0.5,1,0)+IF(L439 &gt; 0.5,1,0)</f>
        <v>6</v>
      </c>
      <c r="G438" s="14">
        <v>0.83</v>
      </c>
      <c r="H438" s="14">
        <v>1</v>
      </c>
      <c r="I438" s="14">
        <v>1</v>
      </c>
      <c r="J438" s="14">
        <v>1</v>
      </c>
      <c r="K438" s="14">
        <v>1</v>
      </c>
      <c r="L438" s="14">
        <v>1</v>
      </c>
      <c r="M438" s="15">
        <v>2.9990000000000001</v>
      </c>
      <c r="N438" s="16" t="str">
        <f t="shared" si="18"/>
        <v>N</v>
      </c>
      <c r="O438" s="17">
        <v>4.7</v>
      </c>
      <c r="P438" s="16" t="s">
        <v>138</v>
      </c>
      <c r="Q438" s="18">
        <v>0</v>
      </c>
      <c r="R438" s="19">
        <v>24.69</v>
      </c>
      <c r="S438" s="19">
        <v>18.399999999999999</v>
      </c>
      <c r="T438" s="19">
        <v>30.8</v>
      </c>
      <c r="U438" s="20">
        <v>343.51</v>
      </c>
      <c r="V438" s="16" t="s">
        <v>7</v>
      </c>
      <c r="W438" s="21">
        <v>0.12</v>
      </c>
      <c r="X438" s="21">
        <v>0.04</v>
      </c>
      <c r="Y438" s="21">
        <v>0.21</v>
      </c>
      <c r="Z438" s="21">
        <v>0.17</v>
      </c>
      <c r="AA438" s="21">
        <v>0.08</v>
      </c>
      <c r="AB438" s="21">
        <v>0.17</v>
      </c>
      <c r="AC438" s="21">
        <v>0.08</v>
      </c>
      <c r="AD438" s="21">
        <v>0.12</v>
      </c>
      <c r="AE438" s="21">
        <v>4.2699999999999996</v>
      </c>
      <c r="AF438" s="21">
        <v>1.01</v>
      </c>
      <c r="AG438" s="21">
        <v>9.8000000000000007</v>
      </c>
      <c r="AH438" s="18" t="s">
        <v>4</v>
      </c>
      <c r="AI438" s="13" t="str">
        <f>VLOOKUP(AH438,'Hess and Brezowsky'!$B$2:$G$31,2,FALSE)</f>
        <v>Mixed</v>
      </c>
      <c r="AJ438" s="18" t="str">
        <f>VLOOKUP(AH438,'Hess and Brezowsky'!$B$2:$G$31,3,FALSE)</f>
        <v>A</v>
      </c>
      <c r="AK438" s="13" t="str">
        <f>VLOOKUP(AH438,'Hess and Brezowsky'!$B$2:$G$31,4,FALSE)</f>
        <v>Zonal Ridge across Central Europe</v>
      </c>
      <c r="AL438" s="29">
        <v>0.2020949074074074</v>
      </c>
      <c r="AM438" s="29">
        <v>0.49692129629629628</v>
      </c>
      <c r="AN438" s="30">
        <v>0.79173611111111108</v>
      </c>
    </row>
    <row r="439" spans="1:40" ht="15.75" customHeight="1" x14ac:dyDescent="0.2">
      <c r="A439" s="27">
        <v>45159</v>
      </c>
      <c r="B439" s="13">
        <v>2023</v>
      </c>
      <c r="C439" s="13">
        <v>233</v>
      </c>
      <c r="D439" s="13">
        <f t="shared" si="17"/>
        <v>2</v>
      </c>
      <c r="E439" s="31" t="s">
        <v>45</v>
      </c>
      <c r="F439" s="13">
        <f t="shared" si="19"/>
        <v>6</v>
      </c>
      <c r="G439" s="14">
        <v>0.83</v>
      </c>
      <c r="H439" s="14">
        <v>1</v>
      </c>
      <c r="I439" s="14">
        <v>1</v>
      </c>
      <c r="J439" s="14">
        <v>1</v>
      </c>
      <c r="K439" s="14">
        <v>1</v>
      </c>
      <c r="L439" s="14">
        <v>1</v>
      </c>
      <c r="M439" s="15">
        <v>19.777999999999999</v>
      </c>
      <c r="N439" s="16" t="str">
        <f t="shared" si="18"/>
        <v>N</v>
      </c>
      <c r="O439" s="17">
        <v>4.5999999999999996</v>
      </c>
      <c r="P439" s="16" t="s">
        <v>139</v>
      </c>
      <c r="Q439" s="18">
        <v>0</v>
      </c>
      <c r="R439" s="19">
        <v>23.47</v>
      </c>
      <c r="S439" s="19">
        <v>18.600000000000001</v>
      </c>
      <c r="T439" s="19">
        <v>29.3</v>
      </c>
      <c r="U439" s="20">
        <v>17.52</v>
      </c>
      <c r="V439" s="16" t="s">
        <v>7</v>
      </c>
      <c r="W439" s="21">
        <v>0.71</v>
      </c>
      <c r="X439" s="21">
        <v>0.21</v>
      </c>
      <c r="Y439" s="21">
        <v>0</v>
      </c>
      <c r="Z439" s="21">
        <v>0</v>
      </c>
      <c r="AA439" s="21">
        <v>0</v>
      </c>
      <c r="AB439" s="21">
        <v>0</v>
      </c>
      <c r="AC439" s="21">
        <v>0</v>
      </c>
      <c r="AD439" s="21">
        <v>0.08</v>
      </c>
      <c r="AE439" s="21">
        <v>4.1399999999999997</v>
      </c>
      <c r="AF439" s="21">
        <v>3.8</v>
      </c>
      <c r="AG439" s="21">
        <v>8.1</v>
      </c>
      <c r="AH439" s="18" t="s">
        <v>4</v>
      </c>
      <c r="AI439" s="13" t="str">
        <f>VLOOKUP(AH439,'Hess and Brezowsky'!$B$2:$G$31,2,FALSE)</f>
        <v>Mixed</v>
      </c>
      <c r="AJ439" s="18" t="str">
        <f>VLOOKUP(AH439,'Hess and Brezowsky'!$B$2:$G$31,3,FALSE)</f>
        <v>A</v>
      </c>
      <c r="AK439" s="13" t="str">
        <f>VLOOKUP(AH439,'Hess and Brezowsky'!$B$2:$G$31,4,FALSE)</f>
        <v>Zonal Ridge across Central Europe</v>
      </c>
      <c r="AL439" s="29">
        <v>0.20309027777777777</v>
      </c>
      <c r="AM439" s="29">
        <v>0.49675925925925923</v>
      </c>
      <c r="AN439" s="30">
        <v>0.7904282407407407</v>
      </c>
    </row>
    <row r="440" spans="1:40" ht="15.75" customHeight="1" x14ac:dyDescent="0.2">
      <c r="A440" s="27">
        <v>45160</v>
      </c>
      <c r="B440" s="13">
        <v>2023</v>
      </c>
      <c r="C440" s="13">
        <v>234</v>
      </c>
      <c r="D440" s="13">
        <f t="shared" si="17"/>
        <v>3</v>
      </c>
      <c r="E440" s="31" t="s">
        <v>45</v>
      </c>
      <c r="F440" s="13">
        <f t="shared" si="19"/>
        <v>6</v>
      </c>
      <c r="G440" s="14">
        <v>0.79</v>
      </c>
      <c r="H440" s="14">
        <v>1</v>
      </c>
      <c r="I440" s="14">
        <v>1</v>
      </c>
      <c r="J440" s="14">
        <v>1</v>
      </c>
      <c r="K440" s="14">
        <v>1</v>
      </c>
      <c r="L440" s="14">
        <v>1</v>
      </c>
      <c r="M440" s="15">
        <v>60.938000000000002</v>
      </c>
      <c r="N440" s="16" t="str">
        <f t="shared" si="18"/>
        <v>NE</v>
      </c>
      <c r="O440" s="17">
        <v>4.5</v>
      </c>
      <c r="P440" s="16" t="s">
        <v>138</v>
      </c>
      <c r="Q440" s="18">
        <v>0</v>
      </c>
      <c r="R440" s="19">
        <v>24.98</v>
      </c>
      <c r="S440" s="19">
        <v>19.2</v>
      </c>
      <c r="T440" s="19">
        <v>31.1</v>
      </c>
      <c r="U440" s="20">
        <v>66.91</v>
      </c>
      <c r="V440" s="16" t="s">
        <v>10</v>
      </c>
      <c r="W440" s="21">
        <v>0</v>
      </c>
      <c r="X440" s="21">
        <v>0.5</v>
      </c>
      <c r="Y440" s="21">
        <v>0.46</v>
      </c>
      <c r="Z440" s="21">
        <v>0.04</v>
      </c>
      <c r="AA440" s="21">
        <v>0</v>
      </c>
      <c r="AB440" s="21">
        <v>0</v>
      </c>
      <c r="AC440" s="21">
        <v>0</v>
      </c>
      <c r="AD440" s="21">
        <v>0</v>
      </c>
      <c r="AE440" s="21">
        <v>4.49</v>
      </c>
      <c r="AF440" s="21">
        <v>4.01</v>
      </c>
      <c r="AG440" s="21">
        <v>8.9</v>
      </c>
      <c r="AH440" s="18" t="s">
        <v>4</v>
      </c>
      <c r="AI440" s="13" t="str">
        <f>VLOOKUP(AH440,'Hess and Brezowsky'!$B$2:$G$31,2,FALSE)</f>
        <v>Mixed</v>
      </c>
      <c r="AJ440" s="18" t="str">
        <f>VLOOKUP(AH440,'Hess and Brezowsky'!$B$2:$G$31,3,FALSE)</f>
        <v>A</v>
      </c>
      <c r="AK440" s="13" t="str">
        <f>VLOOKUP(AH440,'Hess and Brezowsky'!$B$2:$G$31,4,FALSE)</f>
        <v>Zonal Ridge across Central Europe</v>
      </c>
      <c r="AL440" s="29">
        <v>0.20407407407407407</v>
      </c>
      <c r="AM440" s="29">
        <v>0.49659722222222225</v>
      </c>
      <c r="AN440" s="30">
        <v>0.78910879629629627</v>
      </c>
    </row>
    <row r="441" spans="1:40" ht="15.75" customHeight="1" x14ac:dyDescent="0.2">
      <c r="A441" s="27">
        <v>45161</v>
      </c>
      <c r="B441" s="13">
        <v>2023</v>
      </c>
      <c r="C441" s="13">
        <v>235</v>
      </c>
      <c r="D441" s="13">
        <f t="shared" si="17"/>
        <v>4</v>
      </c>
      <c r="E441" s="31" t="s">
        <v>45</v>
      </c>
      <c r="F441" s="13">
        <f t="shared" si="19"/>
        <v>6</v>
      </c>
      <c r="G441" s="14">
        <v>0.75</v>
      </c>
      <c r="H441" s="14">
        <v>1</v>
      </c>
      <c r="I441" s="14">
        <v>1</v>
      </c>
      <c r="J441" s="14">
        <v>1</v>
      </c>
      <c r="K441" s="14">
        <v>1</v>
      </c>
      <c r="L441" s="14">
        <v>0.91</v>
      </c>
      <c r="M441" s="15">
        <v>90.216999999999999</v>
      </c>
      <c r="N441" s="16" t="str">
        <f t="shared" si="18"/>
        <v>E</v>
      </c>
      <c r="O441" s="17">
        <v>5.0999999999999996</v>
      </c>
      <c r="P441" s="16" t="s">
        <v>138</v>
      </c>
      <c r="Q441" s="18">
        <v>0</v>
      </c>
      <c r="R441" s="19">
        <v>25.22</v>
      </c>
      <c r="S441" s="19">
        <v>18.8</v>
      </c>
      <c r="T441" s="19">
        <v>31.9</v>
      </c>
      <c r="U441" s="20">
        <v>96.2</v>
      </c>
      <c r="V441" s="16" t="s">
        <v>9</v>
      </c>
      <c r="W441" s="21">
        <v>0</v>
      </c>
      <c r="X441" s="21">
        <v>0.21</v>
      </c>
      <c r="Y441" s="21">
        <v>0.28999999999999998</v>
      </c>
      <c r="Z441" s="21">
        <v>0.5</v>
      </c>
      <c r="AA441" s="21">
        <v>0</v>
      </c>
      <c r="AB441" s="21">
        <v>0</v>
      </c>
      <c r="AC441" s="21">
        <v>0</v>
      </c>
      <c r="AD441" s="21">
        <v>0</v>
      </c>
      <c r="AE441" s="21">
        <v>5.0999999999999996</v>
      </c>
      <c r="AF441" s="21">
        <v>4.3499999999999996</v>
      </c>
      <c r="AG441" s="21">
        <v>11</v>
      </c>
      <c r="AH441" s="18" t="s">
        <v>4</v>
      </c>
      <c r="AI441" s="13" t="str">
        <f>VLOOKUP(AH441,'Hess and Brezowsky'!$B$2:$G$31,2,FALSE)</f>
        <v>Mixed</v>
      </c>
      <c r="AJ441" s="18" t="str">
        <f>VLOOKUP(AH441,'Hess and Brezowsky'!$B$2:$G$31,3,FALSE)</f>
        <v>A</v>
      </c>
      <c r="AK441" s="13" t="str">
        <f>VLOOKUP(AH441,'Hess and Brezowsky'!$B$2:$G$31,4,FALSE)</f>
        <v>Zonal Ridge across Central Europe</v>
      </c>
      <c r="AL441" s="29">
        <v>0.20505787037037038</v>
      </c>
      <c r="AM441" s="29">
        <v>0.49642361111111111</v>
      </c>
      <c r="AN441" s="30">
        <v>0.7877777777777778</v>
      </c>
    </row>
    <row r="442" spans="1:40" ht="15.75" customHeight="1" x14ac:dyDescent="0.2">
      <c r="A442" s="27">
        <v>45162</v>
      </c>
      <c r="B442" s="13">
        <v>2023</v>
      </c>
      <c r="C442" s="13">
        <v>236</v>
      </c>
      <c r="D442" s="13">
        <f t="shared" si="17"/>
        <v>5</v>
      </c>
      <c r="E442" s="31" t="s">
        <v>45</v>
      </c>
      <c r="F442" s="13">
        <f t="shared" si="19"/>
        <v>6</v>
      </c>
      <c r="G442" s="14">
        <v>1</v>
      </c>
      <c r="H442" s="14">
        <v>1</v>
      </c>
      <c r="I442" s="14">
        <v>1</v>
      </c>
      <c r="J442" s="14">
        <v>1</v>
      </c>
      <c r="K442" s="14">
        <v>1</v>
      </c>
      <c r="L442" s="14">
        <v>1</v>
      </c>
      <c r="M442" s="15">
        <v>130.75</v>
      </c>
      <c r="N442" s="16" t="str">
        <f t="shared" si="18"/>
        <v>SE</v>
      </c>
      <c r="O442" s="17">
        <v>6.9</v>
      </c>
      <c r="P442" s="16" t="s">
        <v>137</v>
      </c>
      <c r="Q442" s="18">
        <v>0.4</v>
      </c>
      <c r="R442" s="19">
        <v>23.94</v>
      </c>
      <c r="S442" s="19">
        <v>21.3</v>
      </c>
      <c r="T442" s="19">
        <v>28.3</v>
      </c>
      <c r="U442" s="20">
        <v>136.36000000000001</v>
      </c>
      <c r="V442" s="16" t="s">
        <v>11</v>
      </c>
      <c r="W442" s="21">
        <v>0.12</v>
      </c>
      <c r="X442" s="21">
        <v>0</v>
      </c>
      <c r="Y442" s="21">
        <v>0.12</v>
      </c>
      <c r="Z442" s="21">
        <v>0.46</v>
      </c>
      <c r="AA442" s="21">
        <v>0.08</v>
      </c>
      <c r="AB442" s="21">
        <v>0.21</v>
      </c>
      <c r="AC442" s="21">
        <v>0</v>
      </c>
      <c r="AD442" s="21">
        <v>0</v>
      </c>
      <c r="AE442" s="21">
        <v>6.94</v>
      </c>
      <c r="AF442" s="21">
        <v>3.96</v>
      </c>
      <c r="AG442" s="21">
        <v>13.1</v>
      </c>
      <c r="AH442" s="18" t="s">
        <v>12</v>
      </c>
      <c r="AI442" s="13" t="str">
        <f>VLOOKUP(AH442,'Hess and Brezowsky'!$B$2:$G$31,2,FALSE)</f>
        <v>Undefined</v>
      </c>
      <c r="AJ442" s="18" t="str">
        <f>VLOOKUP(AH442,'Hess and Brezowsky'!$B$2:$G$31,3,FALSE)</f>
        <v>M</v>
      </c>
      <c r="AK442" s="13" t="str">
        <f>VLOOKUP(AH442,'Hess and Brezowsky'!$B$2:$G$31,4,FALSE)</f>
        <v>Transistion / Undefined</v>
      </c>
      <c r="AL442" s="29">
        <v>0.20605324074074075</v>
      </c>
      <c r="AM442" s="29">
        <v>0.49623842592592593</v>
      </c>
      <c r="AN442" s="30">
        <v>0.78643518518518518</v>
      </c>
    </row>
    <row r="443" spans="1:40" ht="15.75" customHeight="1" x14ac:dyDescent="0.2">
      <c r="A443" s="27">
        <v>45163</v>
      </c>
      <c r="B443" s="13">
        <v>2023</v>
      </c>
      <c r="C443" s="13">
        <v>237</v>
      </c>
      <c r="D443" s="13">
        <f t="shared" si="17"/>
        <v>6</v>
      </c>
      <c r="E443" s="31" t="s">
        <v>45</v>
      </c>
      <c r="F443" s="13">
        <f t="shared" si="19"/>
        <v>6</v>
      </c>
      <c r="G443" s="14">
        <v>1</v>
      </c>
      <c r="H443" s="14">
        <v>1</v>
      </c>
      <c r="I443" s="14">
        <v>1</v>
      </c>
      <c r="J443" s="14">
        <v>1</v>
      </c>
      <c r="K443" s="14">
        <v>1</v>
      </c>
      <c r="L443" s="14">
        <v>1</v>
      </c>
      <c r="M443" s="15">
        <v>286.70400000000001</v>
      </c>
      <c r="N443" s="16" t="str">
        <f t="shared" si="18"/>
        <v>W</v>
      </c>
      <c r="O443" s="17">
        <v>4.7</v>
      </c>
      <c r="P443" s="16" t="s">
        <v>140</v>
      </c>
      <c r="Q443" s="18">
        <v>0</v>
      </c>
      <c r="R443" s="19">
        <v>20.34</v>
      </c>
      <c r="S443" s="19">
        <v>16.8</v>
      </c>
      <c r="T443" s="19">
        <v>21.8</v>
      </c>
      <c r="U443" s="20">
        <v>282.47000000000003</v>
      </c>
      <c r="V443" s="16" t="s">
        <v>16</v>
      </c>
      <c r="W443" s="21">
        <v>0</v>
      </c>
      <c r="X443" s="21">
        <v>0</v>
      </c>
      <c r="Y443" s="21">
        <v>0</v>
      </c>
      <c r="Z443" s="21">
        <v>0</v>
      </c>
      <c r="AA443" s="21">
        <v>0</v>
      </c>
      <c r="AB443" s="21">
        <v>0.08</v>
      </c>
      <c r="AC443" s="21">
        <v>0.46</v>
      </c>
      <c r="AD443" s="21">
        <v>0.46</v>
      </c>
      <c r="AE443" s="21">
        <v>5.17</v>
      </c>
      <c r="AF443" s="21">
        <v>4.84</v>
      </c>
      <c r="AG443" s="21">
        <v>8.3000000000000007</v>
      </c>
      <c r="AH443" s="18" t="s">
        <v>23</v>
      </c>
      <c r="AI443" s="13" t="str">
        <f>VLOOKUP(AH443,'Hess and Brezowsky'!$B$2:$G$31,2,FALSE)</f>
        <v>Meridional</v>
      </c>
      <c r="AJ443" s="18" t="str">
        <f>VLOOKUP(AH443,'Hess and Brezowsky'!$B$2:$G$31,3,FALSE)</f>
        <v>M</v>
      </c>
      <c r="AK443" s="13" t="str">
        <f>VLOOKUP(AH443,'Hess and Brezowsky'!$B$2:$G$31,4,FALSE)</f>
        <v>Trough over Wester Europe</v>
      </c>
      <c r="AL443" s="29">
        <v>0.20703703703703705</v>
      </c>
      <c r="AM443" s="29">
        <v>0.49606481481481479</v>
      </c>
      <c r="AN443" s="30">
        <v>0.78508101851851853</v>
      </c>
    </row>
    <row r="444" spans="1:40" ht="15.75" customHeight="1" x14ac:dyDescent="0.2">
      <c r="A444" s="27">
        <v>45164</v>
      </c>
      <c r="B444" s="13">
        <v>2023</v>
      </c>
      <c r="C444" s="13">
        <v>238</v>
      </c>
      <c r="D444" s="13">
        <f t="shared" si="17"/>
        <v>7</v>
      </c>
      <c r="E444" s="31" t="s">
        <v>45</v>
      </c>
      <c r="F444" s="13">
        <f t="shared" si="19"/>
        <v>6</v>
      </c>
      <c r="G444" s="14">
        <v>1</v>
      </c>
      <c r="H444" s="14">
        <v>1</v>
      </c>
      <c r="I444" s="14">
        <v>1</v>
      </c>
      <c r="J444" s="14">
        <v>1</v>
      </c>
      <c r="K444" s="14">
        <v>1</v>
      </c>
      <c r="L444" s="14">
        <v>1</v>
      </c>
      <c r="M444" s="15">
        <v>239.071</v>
      </c>
      <c r="N444" s="16" t="str">
        <f t="shared" si="18"/>
        <v>SW</v>
      </c>
      <c r="O444" s="17">
        <v>5.6</v>
      </c>
      <c r="P444" s="16" t="s">
        <v>137</v>
      </c>
      <c r="Q444" s="18">
        <v>1.4</v>
      </c>
      <c r="R444" s="19">
        <v>18.03</v>
      </c>
      <c r="S444" s="19">
        <v>14.1</v>
      </c>
      <c r="T444" s="19">
        <v>22.7</v>
      </c>
      <c r="U444" s="20">
        <v>238.66</v>
      </c>
      <c r="V444" s="16" t="s">
        <v>5</v>
      </c>
      <c r="W444" s="21">
        <v>0.08</v>
      </c>
      <c r="X444" s="21">
        <v>0</v>
      </c>
      <c r="Y444" s="21">
        <v>0</v>
      </c>
      <c r="Z444" s="21">
        <v>0</v>
      </c>
      <c r="AA444" s="21">
        <v>0</v>
      </c>
      <c r="AB444" s="21">
        <v>0.75</v>
      </c>
      <c r="AC444" s="21">
        <v>0.12</v>
      </c>
      <c r="AD444" s="21">
        <v>0.04</v>
      </c>
      <c r="AE444" s="21">
        <v>4.7699999999999996</v>
      </c>
      <c r="AF444" s="21">
        <v>4.2699999999999996</v>
      </c>
      <c r="AG444" s="21">
        <v>9.9</v>
      </c>
      <c r="AH444" s="18" t="s">
        <v>23</v>
      </c>
      <c r="AI444" s="13" t="str">
        <f>VLOOKUP(AH444,'Hess and Brezowsky'!$B$2:$G$31,2,FALSE)</f>
        <v>Meridional</v>
      </c>
      <c r="AJ444" s="18" t="str">
        <f>VLOOKUP(AH444,'Hess and Brezowsky'!$B$2:$G$31,3,FALSE)</f>
        <v>M</v>
      </c>
      <c r="AK444" s="13" t="str">
        <f>VLOOKUP(AH444,'Hess and Brezowsky'!$B$2:$G$31,4,FALSE)</f>
        <v>Trough over Wester Europe</v>
      </c>
      <c r="AL444" s="29">
        <v>0.20802083333333332</v>
      </c>
      <c r="AM444" s="29">
        <v>0.49586805555555558</v>
      </c>
      <c r="AN444" s="30">
        <v>0.78371527777777783</v>
      </c>
    </row>
    <row r="445" spans="1:40" ht="15.75" customHeight="1" x14ac:dyDescent="0.2">
      <c r="A445" s="27">
        <v>45165</v>
      </c>
      <c r="B445" s="13">
        <v>2023</v>
      </c>
      <c r="C445" s="13">
        <v>239</v>
      </c>
      <c r="D445" s="13">
        <f t="shared" si="17"/>
        <v>1</v>
      </c>
      <c r="E445" s="31" t="s">
        <v>45</v>
      </c>
      <c r="F445" s="13">
        <f t="shared" si="19"/>
        <v>6</v>
      </c>
      <c r="G445" s="14">
        <v>1</v>
      </c>
      <c r="H445" s="14">
        <v>1</v>
      </c>
      <c r="I445" s="14">
        <v>1</v>
      </c>
      <c r="J445" s="14">
        <v>1</v>
      </c>
      <c r="K445" s="14">
        <v>1</v>
      </c>
      <c r="L445" s="14">
        <v>1</v>
      </c>
      <c r="M445" s="15">
        <v>286.30099999999999</v>
      </c>
      <c r="N445" s="16" t="str">
        <f t="shared" si="18"/>
        <v>W</v>
      </c>
      <c r="O445" s="17">
        <v>6.4</v>
      </c>
      <c r="P445" s="16" t="s">
        <v>137</v>
      </c>
      <c r="Q445" s="18">
        <v>4.0999999999999996</v>
      </c>
      <c r="R445" s="19">
        <v>16.62</v>
      </c>
      <c r="S445" s="19">
        <v>13.3</v>
      </c>
      <c r="T445" s="19">
        <v>21</v>
      </c>
      <c r="U445" s="20">
        <v>283.72000000000003</v>
      </c>
      <c r="V445" s="16" t="s">
        <v>16</v>
      </c>
      <c r="W445" s="21">
        <v>0</v>
      </c>
      <c r="X445" s="21">
        <v>0</v>
      </c>
      <c r="Y445" s="21">
        <v>0</v>
      </c>
      <c r="Z445" s="21">
        <v>0</v>
      </c>
      <c r="AA445" s="21">
        <v>0</v>
      </c>
      <c r="AB445" s="21">
        <v>0</v>
      </c>
      <c r="AC445" s="21">
        <v>0.88</v>
      </c>
      <c r="AD445" s="21">
        <v>0.12</v>
      </c>
      <c r="AE445" s="21">
        <v>7.63</v>
      </c>
      <c r="AF445" s="21">
        <v>7.51</v>
      </c>
      <c r="AG445" s="21">
        <v>12.9</v>
      </c>
      <c r="AH445" s="18" t="s">
        <v>23</v>
      </c>
      <c r="AI445" s="13" t="str">
        <f>VLOOKUP(AH445,'Hess and Brezowsky'!$B$2:$G$31,2,FALSE)</f>
        <v>Meridional</v>
      </c>
      <c r="AJ445" s="18" t="str">
        <f>VLOOKUP(AH445,'Hess and Brezowsky'!$B$2:$G$31,3,FALSE)</f>
        <v>M</v>
      </c>
      <c r="AK445" s="13" t="str">
        <f>VLOOKUP(AH445,'Hess and Brezowsky'!$B$2:$G$31,4,FALSE)</f>
        <v>Trough over Wester Europe</v>
      </c>
      <c r="AL445" s="29">
        <v>0.20900462962962962</v>
      </c>
      <c r="AM445" s="29">
        <v>0.49568287037037034</v>
      </c>
      <c r="AN445" s="30">
        <v>0.78234953703703702</v>
      </c>
    </row>
    <row r="446" spans="1:40" ht="15.75" customHeight="1" x14ac:dyDescent="0.2">
      <c r="A446" s="27">
        <v>45166</v>
      </c>
      <c r="B446" s="13">
        <v>2023</v>
      </c>
      <c r="C446" s="13">
        <v>240</v>
      </c>
      <c r="D446" s="13">
        <f t="shared" si="17"/>
        <v>2</v>
      </c>
      <c r="E446" s="31" t="s">
        <v>45</v>
      </c>
      <c r="F446" s="13">
        <f t="shared" si="19"/>
        <v>6</v>
      </c>
      <c r="G446" s="14">
        <v>1</v>
      </c>
      <c r="H446" s="14">
        <v>1</v>
      </c>
      <c r="I446" s="14">
        <v>1</v>
      </c>
      <c r="J446" s="14">
        <v>1</v>
      </c>
      <c r="K446" s="14">
        <v>1</v>
      </c>
      <c r="L446" s="14">
        <v>1</v>
      </c>
      <c r="M446" s="15">
        <v>326.50299999999999</v>
      </c>
      <c r="N446" s="16" t="str">
        <f t="shared" si="18"/>
        <v>NW</v>
      </c>
      <c r="O446" s="17">
        <v>5.6</v>
      </c>
      <c r="P446" s="16" t="s">
        <v>137</v>
      </c>
      <c r="Q446" s="18">
        <v>0</v>
      </c>
      <c r="R446" s="19">
        <v>16.8</v>
      </c>
      <c r="S446" s="19">
        <v>13.9</v>
      </c>
      <c r="T446" s="19">
        <v>21.3</v>
      </c>
      <c r="U446" s="20">
        <v>318.27</v>
      </c>
      <c r="V446" s="16" t="s">
        <v>6</v>
      </c>
      <c r="W446" s="21">
        <v>0.25</v>
      </c>
      <c r="X446" s="21">
        <v>0</v>
      </c>
      <c r="Y446" s="21">
        <v>0</v>
      </c>
      <c r="Z446" s="21">
        <v>0</v>
      </c>
      <c r="AA446" s="21">
        <v>0</v>
      </c>
      <c r="AB446" s="21">
        <v>0</v>
      </c>
      <c r="AC446" s="21">
        <v>0.04</v>
      </c>
      <c r="AD446" s="21">
        <v>0.71</v>
      </c>
      <c r="AE446" s="21">
        <v>6.42</v>
      </c>
      <c r="AF446" s="21">
        <v>5.94</v>
      </c>
      <c r="AG446" s="21">
        <v>11</v>
      </c>
      <c r="AH446" s="18" t="s">
        <v>23</v>
      </c>
      <c r="AI446" s="13" t="str">
        <f>VLOOKUP(AH446,'Hess and Brezowsky'!$B$2:$G$31,2,FALSE)</f>
        <v>Meridional</v>
      </c>
      <c r="AJ446" s="18" t="str">
        <f>VLOOKUP(AH446,'Hess and Brezowsky'!$B$2:$G$31,3,FALSE)</f>
        <v>M</v>
      </c>
      <c r="AK446" s="13" t="str">
        <f>VLOOKUP(AH446,'Hess and Brezowsky'!$B$2:$G$31,4,FALSE)</f>
        <v>Trough over Wester Europe</v>
      </c>
      <c r="AL446" s="29">
        <v>0.20998842592592593</v>
      </c>
      <c r="AM446" s="29">
        <v>0.49547453703703703</v>
      </c>
      <c r="AN446" s="30">
        <v>0.78096064814814814</v>
      </c>
    </row>
    <row r="447" spans="1:40" ht="15.75" customHeight="1" x14ac:dyDescent="0.2">
      <c r="A447" s="27">
        <v>45167</v>
      </c>
      <c r="B447" s="13">
        <v>2023</v>
      </c>
      <c r="C447" s="13">
        <v>241</v>
      </c>
      <c r="D447" s="13">
        <f t="shared" si="17"/>
        <v>3</v>
      </c>
      <c r="E447" s="31" t="s">
        <v>45</v>
      </c>
      <c r="F447" s="13">
        <f t="shared" si="19"/>
        <v>6</v>
      </c>
      <c r="G447" s="14">
        <v>1</v>
      </c>
      <c r="H447" s="14">
        <v>1</v>
      </c>
      <c r="I447" s="14">
        <v>1</v>
      </c>
      <c r="J447" s="14">
        <v>1</v>
      </c>
      <c r="K447" s="14">
        <v>1</v>
      </c>
      <c r="L447" s="14">
        <v>1</v>
      </c>
      <c r="M447" s="15">
        <v>320.77600000000001</v>
      </c>
      <c r="N447" s="16" t="str">
        <f t="shared" si="18"/>
        <v>NW</v>
      </c>
      <c r="O447" s="17">
        <v>4.5</v>
      </c>
      <c r="P447" s="16" t="s">
        <v>137</v>
      </c>
      <c r="Q447" s="18">
        <v>0</v>
      </c>
      <c r="R447" s="19">
        <v>17.25</v>
      </c>
      <c r="S447" s="19">
        <v>13.6</v>
      </c>
      <c r="T447" s="19">
        <v>21.2</v>
      </c>
      <c r="U447" s="20">
        <v>313.97000000000003</v>
      </c>
      <c r="V447" s="16" t="s">
        <v>6</v>
      </c>
      <c r="W447" s="21">
        <v>0.25</v>
      </c>
      <c r="X447" s="21">
        <v>0</v>
      </c>
      <c r="Y447" s="21">
        <v>0</v>
      </c>
      <c r="Z447" s="21">
        <v>0</v>
      </c>
      <c r="AA447" s="21">
        <v>0</v>
      </c>
      <c r="AB447" s="21">
        <v>0</v>
      </c>
      <c r="AC447" s="21">
        <v>0.38</v>
      </c>
      <c r="AD447" s="21">
        <v>0.38</v>
      </c>
      <c r="AE447" s="21">
        <v>4.74</v>
      </c>
      <c r="AF447" s="21">
        <v>4.1100000000000003</v>
      </c>
      <c r="AG447" s="21">
        <v>8.4</v>
      </c>
      <c r="AH447" s="18" t="s">
        <v>23</v>
      </c>
      <c r="AI447" s="13" t="str">
        <f>VLOOKUP(AH447,'Hess and Brezowsky'!$B$2:$G$31,2,FALSE)</f>
        <v>Meridional</v>
      </c>
      <c r="AJ447" s="18" t="str">
        <f>VLOOKUP(AH447,'Hess and Brezowsky'!$B$2:$G$31,3,FALSE)</f>
        <v>M</v>
      </c>
      <c r="AK447" s="13" t="str">
        <f>VLOOKUP(AH447,'Hess and Brezowsky'!$B$2:$G$31,4,FALSE)</f>
        <v>Trough over Wester Europe</v>
      </c>
      <c r="AL447" s="29">
        <v>0.21098379629629629</v>
      </c>
      <c r="AM447" s="29">
        <v>0.49527777777777776</v>
      </c>
      <c r="AN447" s="30">
        <v>0.77957175925925926</v>
      </c>
    </row>
    <row r="448" spans="1:40" ht="15.75" customHeight="1" x14ac:dyDescent="0.2">
      <c r="A448" s="27">
        <v>45168</v>
      </c>
      <c r="B448" s="13">
        <v>2023</v>
      </c>
      <c r="C448" s="13">
        <v>242</v>
      </c>
      <c r="D448" s="13">
        <f t="shared" si="17"/>
        <v>4</v>
      </c>
      <c r="E448" s="31" t="s">
        <v>45</v>
      </c>
      <c r="F448" s="13">
        <f t="shared" si="19"/>
        <v>6</v>
      </c>
      <c r="G448" s="14">
        <v>1</v>
      </c>
      <c r="H448" s="14">
        <v>1</v>
      </c>
      <c r="I448" s="14">
        <v>1</v>
      </c>
      <c r="J448" s="14">
        <v>1</v>
      </c>
      <c r="K448" s="14">
        <v>1</v>
      </c>
      <c r="L448" s="14">
        <v>1</v>
      </c>
      <c r="M448" s="15">
        <v>276.19799999999998</v>
      </c>
      <c r="N448" s="16" t="str">
        <f t="shared" si="18"/>
        <v>W</v>
      </c>
      <c r="O448" s="17">
        <v>6.7</v>
      </c>
      <c r="P448" s="16" t="s">
        <v>137</v>
      </c>
      <c r="Q448" s="18">
        <v>0</v>
      </c>
      <c r="R448" s="19">
        <v>16.96</v>
      </c>
      <c r="S448" s="19">
        <v>13.8</v>
      </c>
      <c r="T448" s="19">
        <v>20.399999999999999</v>
      </c>
      <c r="U448" s="20">
        <v>272.32</v>
      </c>
      <c r="V448" s="16" t="s">
        <v>16</v>
      </c>
      <c r="W448" s="21">
        <v>0</v>
      </c>
      <c r="X448" s="21">
        <v>0</v>
      </c>
      <c r="Y448" s="21">
        <v>0</v>
      </c>
      <c r="Z448" s="21">
        <v>0</v>
      </c>
      <c r="AA448" s="21">
        <v>0</v>
      </c>
      <c r="AB448" s="21">
        <v>0.28999999999999998</v>
      </c>
      <c r="AC448" s="21">
        <v>0.42</v>
      </c>
      <c r="AD448" s="21">
        <v>0.28999999999999998</v>
      </c>
      <c r="AE448" s="21">
        <v>7.15</v>
      </c>
      <c r="AF448" s="21">
        <v>6.5</v>
      </c>
      <c r="AG448" s="21">
        <v>10.4</v>
      </c>
      <c r="AH448" s="18" t="s">
        <v>23</v>
      </c>
      <c r="AI448" s="13" t="str">
        <f>VLOOKUP(AH448,'Hess and Brezowsky'!$B$2:$G$31,2,FALSE)</f>
        <v>Meridional</v>
      </c>
      <c r="AJ448" s="18" t="str">
        <f>VLOOKUP(AH448,'Hess and Brezowsky'!$B$2:$G$31,3,FALSE)</f>
        <v>M</v>
      </c>
      <c r="AK448" s="13" t="str">
        <f>VLOOKUP(AH448,'Hess and Brezowsky'!$B$2:$G$31,4,FALSE)</f>
        <v>Trough over Wester Europe</v>
      </c>
      <c r="AL448" s="29">
        <v>0.21195601851851853</v>
      </c>
      <c r="AM448" s="29">
        <v>0.49506944444444445</v>
      </c>
      <c r="AN448" s="30">
        <v>0.77817129629629633</v>
      </c>
    </row>
    <row r="449" spans="1:40" ht="15.75" customHeight="1" x14ac:dyDescent="0.2">
      <c r="A449" s="27">
        <v>45169</v>
      </c>
      <c r="B449" s="13">
        <v>2023</v>
      </c>
      <c r="C449" s="13">
        <v>243</v>
      </c>
      <c r="D449" s="13">
        <f t="shared" si="17"/>
        <v>5</v>
      </c>
      <c r="E449" s="31" t="s">
        <v>45</v>
      </c>
      <c r="F449" s="13">
        <f t="shared" si="19"/>
        <v>6</v>
      </c>
      <c r="G449" s="14">
        <v>1</v>
      </c>
      <c r="H449" s="14">
        <v>1</v>
      </c>
      <c r="I449" s="14">
        <v>1</v>
      </c>
      <c r="J449" s="14">
        <v>1</v>
      </c>
      <c r="K449" s="14">
        <v>1</v>
      </c>
      <c r="L449" s="14">
        <v>1</v>
      </c>
      <c r="M449" s="15">
        <v>228.304</v>
      </c>
      <c r="N449" s="16" t="str">
        <f t="shared" si="18"/>
        <v>SW</v>
      </c>
      <c r="O449" s="17">
        <v>6.5</v>
      </c>
      <c r="P449" s="16" t="s">
        <v>140</v>
      </c>
      <c r="Q449" s="18">
        <v>1.6</v>
      </c>
      <c r="R449" s="19">
        <v>16.86</v>
      </c>
      <c r="S449" s="19">
        <v>13.9</v>
      </c>
      <c r="T449" s="19">
        <v>18.899999999999999</v>
      </c>
      <c r="U449" s="20">
        <v>230.25</v>
      </c>
      <c r="V449" s="16" t="s">
        <v>5</v>
      </c>
      <c r="W449" s="21">
        <v>0</v>
      </c>
      <c r="X449" s="21">
        <v>0</v>
      </c>
      <c r="Y449" s="21">
        <v>0</v>
      </c>
      <c r="Z449" s="21">
        <v>0</v>
      </c>
      <c r="AA449" s="21">
        <v>0.17</v>
      </c>
      <c r="AB449" s="21">
        <v>0.62</v>
      </c>
      <c r="AC449" s="21">
        <v>0.21</v>
      </c>
      <c r="AD449" s="21">
        <v>0</v>
      </c>
      <c r="AE449" s="21">
        <v>6.34</v>
      </c>
      <c r="AF449" s="21">
        <v>5.81</v>
      </c>
      <c r="AG449" s="21">
        <v>12.9</v>
      </c>
      <c r="AH449" s="18" t="s">
        <v>28</v>
      </c>
      <c r="AI449" s="13" t="str">
        <f>VLOOKUP(AH449,'Hess and Brezowsky'!$B$2:$G$31,2,FALSE)</f>
        <v>Zonal</v>
      </c>
      <c r="AJ449" s="18" t="str">
        <f>VLOOKUP(AH449,'Hess and Brezowsky'!$B$2:$G$31,3,FALSE)</f>
        <v>C</v>
      </c>
      <c r="AK449" s="13" t="str">
        <f>VLOOKUP(AH449,'Hess and Brezowsky'!$B$2:$G$31,4,FALSE)</f>
        <v>Cyclonic Westerly</v>
      </c>
      <c r="AL449" s="29">
        <v>0.2129398148148148</v>
      </c>
      <c r="AM449" s="29">
        <v>0.49484953703703705</v>
      </c>
      <c r="AN449" s="30">
        <v>0.77675925925925926</v>
      </c>
    </row>
    <row r="450" spans="1:40" ht="15.75" customHeight="1" x14ac:dyDescent="0.2">
      <c r="A450" s="27">
        <v>45170</v>
      </c>
      <c r="B450" s="13">
        <v>2023</v>
      </c>
      <c r="C450" s="13">
        <v>244</v>
      </c>
      <c r="D450" s="13">
        <f t="shared" ref="D450:D513" si="20">WEEKDAY(A450)</f>
        <v>6</v>
      </c>
      <c r="E450" s="31" t="s">
        <v>45</v>
      </c>
      <c r="F450" s="13">
        <f t="shared" si="19"/>
        <v>6</v>
      </c>
      <c r="G450" s="14">
        <v>1</v>
      </c>
      <c r="H450" s="14">
        <v>1</v>
      </c>
      <c r="I450" s="14">
        <v>1</v>
      </c>
      <c r="J450" s="14">
        <v>1</v>
      </c>
      <c r="K450" s="14">
        <v>1</v>
      </c>
      <c r="L450" s="14">
        <v>1</v>
      </c>
      <c r="M450" s="15">
        <v>218.47499999999999</v>
      </c>
      <c r="N450" s="16" t="str">
        <f t="shared" ref="N450:N513" si="21">IF(AND(M450 &gt; 22.5,M450&lt;=67.6),"NE",IF(AND(M450 &gt; 67.5,M450&lt;=112.5),"E",IF(AND(M450 &gt; 112.5,M450&lt;=157.5),"SE",IF(AND(M450 &gt; 157.5,M450&lt;=202.5),"S",IF(AND(M450 &gt; 202.5,M450&lt;=247.5),"SW",IF(AND(M450 &gt; 247.5,M450&lt;=292.5),"W",IF(AND(M450 &gt; 292.5,M450&lt;=337.5),"NW",IF(AND(M450 &gt; 22.5,M450&lt;=360),"N","N"))))))))</f>
        <v>SW</v>
      </c>
      <c r="O450" s="17">
        <v>6.7</v>
      </c>
      <c r="P450" s="16" t="s">
        <v>137</v>
      </c>
      <c r="Q450" s="18">
        <v>0.2</v>
      </c>
      <c r="R450" s="19">
        <v>19.95</v>
      </c>
      <c r="S450" s="19">
        <v>17.100000000000001</v>
      </c>
      <c r="T450" s="19">
        <v>23.4</v>
      </c>
      <c r="U450" s="20">
        <v>215.89</v>
      </c>
      <c r="V450" s="16" t="s">
        <v>5</v>
      </c>
      <c r="W450" s="21">
        <v>0</v>
      </c>
      <c r="X450" s="21">
        <v>0</v>
      </c>
      <c r="Y450" s="21">
        <v>0</v>
      </c>
      <c r="Z450" s="21">
        <v>0</v>
      </c>
      <c r="AA450" s="21">
        <v>0.38</v>
      </c>
      <c r="AB450" s="21">
        <v>0.62</v>
      </c>
      <c r="AC450" s="21">
        <v>0</v>
      </c>
      <c r="AD450" s="21">
        <v>0</v>
      </c>
      <c r="AE450" s="21">
        <v>6.08</v>
      </c>
      <c r="AF450" s="21">
        <v>5.73</v>
      </c>
      <c r="AG450" s="21">
        <v>13.1</v>
      </c>
      <c r="AH450" s="18" t="s">
        <v>28</v>
      </c>
      <c r="AI450" s="13" t="str">
        <f>VLOOKUP(AH450,'Hess and Brezowsky'!$B$2:$G$31,2,FALSE)</f>
        <v>Zonal</v>
      </c>
      <c r="AJ450" s="18" t="str">
        <f>VLOOKUP(AH450,'Hess and Brezowsky'!$B$2:$G$31,3,FALSE)</f>
        <v>C</v>
      </c>
      <c r="AK450" s="13" t="str">
        <f>VLOOKUP(AH450,'Hess and Brezowsky'!$B$2:$G$31,4,FALSE)</f>
        <v>Cyclonic Westerly</v>
      </c>
      <c r="AL450" s="29">
        <v>0.21392361111111111</v>
      </c>
      <c r="AM450" s="29">
        <v>0.49464120370370368</v>
      </c>
      <c r="AN450" s="30">
        <v>0.77534722222222219</v>
      </c>
    </row>
    <row r="451" spans="1:40" ht="15.75" customHeight="1" x14ac:dyDescent="0.2">
      <c r="A451" s="27">
        <v>45171</v>
      </c>
      <c r="B451" s="13">
        <v>2023</v>
      </c>
      <c r="C451" s="13">
        <v>245</v>
      </c>
      <c r="D451" s="13">
        <f t="shared" si="20"/>
        <v>7</v>
      </c>
      <c r="E451" s="31" t="s">
        <v>45</v>
      </c>
      <c r="F451" s="13">
        <f t="shared" si="19"/>
        <v>6</v>
      </c>
      <c r="G451" s="14">
        <v>1</v>
      </c>
      <c r="H451" s="14">
        <v>1</v>
      </c>
      <c r="I451" s="14">
        <v>1</v>
      </c>
      <c r="J451" s="14">
        <v>1</v>
      </c>
      <c r="K451" s="14">
        <v>1</v>
      </c>
      <c r="L451" s="14">
        <v>1</v>
      </c>
      <c r="M451" s="15">
        <v>82.855999999999995</v>
      </c>
      <c r="N451" s="16" t="str">
        <f t="shared" si="21"/>
        <v>E</v>
      </c>
      <c r="O451" s="17">
        <v>6.9</v>
      </c>
      <c r="P451" s="16" t="s">
        <v>138</v>
      </c>
      <c r="Q451" s="18">
        <v>0</v>
      </c>
      <c r="R451" s="19">
        <v>22.83</v>
      </c>
      <c r="S451" s="19">
        <v>16.5</v>
      </c>
      <c r="T451" s="19">
        <v>30.4</v>
      </c>
      <c r="U451" s="20">
        <v>84.91</v>
      </c>
      <c r="V451" s="16" t="s">
        <v>9</v>
      </c>
      <c r="W451" s="21">
        <v>0</v>
      </c>
      <c r="X451" s="21">
        <v>0.46</v>
      </c>
      <c r="Y451" s="21">
        <v>0.25</v>
      </c>
      <c r="Z451" s="21">
        <v>0.28999999999999998</v>
      </c>
      <c r="AA451" s="21">
        <v>0</v>
      </c>
      <c r="AB451" s="21">
        <v>0</v>
      </c>
      <c r="AC451" s="21">
        <v>0</v>
      </c>
      <c r="AD451" s="21">
        <v>0</v>
      </c>
      <c r="AE451" s="21">
        <v>6.75</v>
      </c>
      <c r="AF451" s="21">
        <v>5.59</v>
      </c>
      <c r="AG451" s="21">
        <v>11.7</v>
      </c>
      <c r="AH451" s="18" t="s">
        <v>28</v>
      </c>
      <c r="AI451" s="13" t="str">
        <f>VLOOKUP(AH451,'Hess and Brezowsky'!$B$2:$G$31,2,FALSE)</f>
        <v>Zonal</v>
      </c>
      <c r="AJ451" s="18" t="str">
        <f>VLOOKUP(AH451,'Hess and Brezowsky'!$B$2:$G$31,3,FALSE)</f>
        <v>C</v>
      </c>
      <c r="AK451" s="13" t="str">
        <f>VLOOKUP(AH451,'Hess and Brezowsky'!$B$2:$G$31,4,FALSE)</f>
        <v>Cyclonic Westerly</v>
      </c>
      <c r="AL451" s="29">
        <v>0.21490740740740741</v>
      </c>
      <c r="AM451" s="29">
        <v>0.49440972222222224</v>
      </c>
      <c r="AN451" s="30">
        <v>0.77392361111111108</v>
      </c>
    </row>
    <row r="452" spans="1:40" ht="15.75" customHeight="1" x14ac:dyDescent="0.2">
      <c r="A452" s="27">
        <v>45172</v>
      </c>
      <c r="B452" s="13">
        <v>2023</v>
      </c>
      <c r="C452" s="13">
        <v>246</v>
      </c>
      <c r="D452" s="13">
        <f t="shared" si="20"/>
        <v>1</v>
      </c>
      <c r="E452" s="31" t="s">
        <v>45</v>
      </c>
      <c r="F452" s="13">
        <f t="shared" si="19"/>
        <v>6</v>
      </c>
      <c r="G452" s="14">
        <v>0.87</v>
      </c>
      <c r="H452" s="14">
        <v>1</v>
      </c>
      <c r="I452" s="14">
        <v>1</v>
      </c>
      <c r="J452" s="14">
        <v>1</v>
      </c>
      <c r="K452" s="14">
        <v>1</v>
      </c>
      <c r="L452" s="14">
        <v>0.91</v>
      </c>
      <c r="M452" s="15">
        <v>79.995000000000005</v>
      </c>
      <c r="N452" s="16" t="str">
        <f t="shared" si="21"/>
        <v>E</v>
      </c>
      <c r="O452" s="17">
        <v>7.6</v>
      </c>
      <c r="P452" s="16" t="s">
        <v>138</v>
      </c>
      <c r="Q452" s="18">
        <v>0</v>
      </c>
      <c r="R452" s="19">
        <v>24.84</v>
      </c>
      <c r="S452" s="19">
        <v>18.899999999999999</v>
      </c>
      <c r="T452" s="19">
        <v>31.8</v>
      </c>
      <c r="U452" s="20">
        <v>84.62</v>
      </c>
      <c r="V452" s="16" t="s">
        <v>9</v>
      </c>
      <c r="W452" s="21">
        <v>0</v>
      </c>
      <c r="X452" s="21">
        <v>0.04</v>
      </c>
      <c r="Y452" s="21">
        <v>0.96</v>
      </c>
      <c r="Z452" s="21">
        <v>0</v>
      </c>
      <c r="AA452" s="21">
        <v>0</v>
      </c>
      <c r="AB452" s="21">
        <v>0</v>
      </c>
      <c r="AC452" s="21">
        <v>0</v>
      </c>
      <c r="AD452" s="21">
        <v>0</v>
      </c>
      <c r="AE452" s="21">
        <v>7.89</v>
      </c>
      <c r="AF452" s="21">
        <v>7.76</v>
      </c>
      <c r="AG452" s="21">
        <v>12.2</v>
      </c>
      <c r="AH452" s="18" t="s">
        <v>4</v>
      </c>
      <c r="AI452" s="13" t="str">
        <f>VLOOKUP(AH452,'Hess and Brezowsky'!$B$2:$G$31,2,FALSE)</f>
        <v>Mixed</v>
      </c>
      <c r="AJ452" s="18" t="str">
        <f>VLOOKUP(AH452,'Hess and Brezowsky'!$B$2:$G$31,3,FALSE)</f>
        <v>A</v>
      </c>
      <c r="AK452" s="13" t="str">
        <f>VLOOKUP(AH452,'Hess and Brezowsky'!$B$2:$G$31,4,FALSE)</f>
        <v>Zonal Ridge across Central Europe</v>
      </c>
      <c r="AL452" s="29">
        <v>0.21589120370370371</v>
      </c>
      <c r="AM452" s="29">
        <v>0.49418981481481483</v>
      </c>
      <c r="AN452" s="30">
        <v>0.77248842592592593</v>
      </c>
    </row>
    <row r="453" spans="1:40" ht="15.75" customHeight="1" x14ac:dyDescent="0.2">
      <c r="A453" s="27">
        <v>45173</v>
      </c>
      <c r="B453" s="13">
        <v>2023</v>
      </c>
      <c r="C453" s="13">
        <v>247</v>
      </c>
      <c r="D453" s="13">
        <f t="shared" si="20"/>
        <v>2</v>
      </c>
      <c r="E453" s="31" t="s">
        <v>45</v>
      </c>
      <c r="F453" s="13">
        <f t="shared" si="19"/>
        <v>6</v>
      </c>
      <c r="G453" s="14">
        <v>1</v>
      </c>
      <c r="H453" s="14">
        <v>1</v>
      </c>
      <c r="I453" s="14">
        <v>1</v>
      </c>
      <c r="J453" s="14">
        <v>1</v>
      </c>
      <c r="K453" s="14">
        <v>1</v>
      </c>
      <c r="L453" s="14">
        <v>1</v>
      </c>
      <c r="M453" s="15">
        <v>93.424999999999997</v>
      </c>
      <c r="N453" s="16" t="str">
        <f t="shared" si="21"/>
        <v>E</v>
      </c>
      <c r="O453" s="17">
        <v>8.1999999999999993</v>
      </c>
      <c r="P453" s="16" t="s">
        <v>138</v>
      </c>
      <c r="Q453" s="18">
        <v>0</v>
      </c>
      <c r="R453" s="19">
        <v>24.39</v>
      </c>
      <c r="S453" s="19">
        <v>18.2</v>
      </c>
      <c r="T453" s="19">
        <v>31.3</v>
      </c>
      <c r="U453" s="20">
        <v>97.04</v>
      </c>
      <c r="V453" s="16" t="s">
        <v>9</v>
      </c>
      <c r="W453" s="21">
        <v>0</v>
      </c>
      <c r="X453" s="21">
        <v>0</v>
      </c>
      <c r="Y453" s="21">
        <v>0.92</v>
      </c>
      <c r="Z453" s="21">
        <v>0.08</v>
      </c>
      <c r="AA453" s="21">
        <v>0</v>
      </c>
      <c r="AB453" s="21">
        <v>0</v>
      </c>
      <c r="AC453" s="21">
        <v>0</v>
      </c>
      <c r="AD453" s="21">
        <v>0</v>
      </c>
      <c r="AE453" s="21">
        <v>8.07</v>
      </c>
      <c r="AF453" s="21">
        <v>7.88</v>
      </c>
      <c r="AG453" s="21">
        <v>14.2</v>
      </c>
      <c r="AH453" s="18" t="s">
        <v>4</v>
      </c>
      <c r="AI453" s="13" t="str">
        <f>VLOOKUP(AH453,'Hess and Brezowsky'!$B$2:$G$31,2,FALSE)</f>
        <v>Mixed</v>
      </c>
      <c r="AJ453" s="18" t="str">
        <f>VLOOKUP(AH453,'Hess and Brezowsky'!$B$2:$G$31,3,FALSE)</f>
        <v>A</v>
      </c>
      <c r="AK453" s="13" t="str">
        <f>VLOOKUP(AH453,'Hess and Brezowsky'!$B$2:$G$31,4,FALSE)</f>
        <v>Zonal Ridge across Central Europe</v>
      </c>
      <c r="AL453" s="29">
        <v>0.21686342592592592</v>
      </c>
      <c r="AM453" s="29">
        <v>0.49395833333333333</v>
      </c>
      <c r="AN453" s="30">
        <v>0.77105324074074078</v>
      </c>
    </row>
    <row r="454" spans="1:40" ht="15.75" customHeight="1" x14ac:dyDescent="0.2">
      <c r="A454" s="27">
        <v>45174</v>
      </c>
      <c r="B454" s="13">
        <v>2023</v>
      </c>
      <c r="C454" s="13">
        <v>248</v>
      </c>
      <c r="D454" s="13">
        <f t="shared" si="20"/>
        <v>3</v>
      </c>
      <c r="E454" s="31" t="s">
        <v>45</v>
      </c>
      <c r="F454" s="13">
        <f t="shared" si="19"/>
        <v>6</v>
      </c>
      <c r="G454" s="14">
        <v>0.7</v>
      </c>
      <c r="H454" s="14">
        <v>1</v>
      </c>
      <c r="I454" s="14">
        <v>1</v>
      </c>
      <c r="J454" s="14">
        <v>1</v>
      </c>
      <c r="K454" s="14">
        <v>1</v>
      </c>
      <c r="L454" s="14">
        <v>1</v>
      </c>
      <c r="M454" s="15">
        <v>135.88300000000001</v>
      </c>
      <c r="N454" s="16" t="str">
        <f t="shared" si="21"/>
        <v>SE</v>
      </c>
      <c r="O454" s="17">
        <v>5.2</v>
      </c>
      <c r="P454" s="16" t="s">
        <v>139</v>
      </c>
      <c r="Q454" s="18">
        <v>0</v>
      </c>
      <c r="R454" s="19">
        <v>25.93</v>
      </c>
      <c r="S454" s="19">
        <v>18.7</v>
      </c>
      <c r="T454" s="19">
        <v>33.799999999999997</v>
      </c>
      <c r="U454" s="20">
        <v>140.71</v>
      </c>
      <c r="V454" s="16" t="s">
        <v>11</v>
      </c>
      <c r="W454" s="21">
        <v>0</v>
      </c>
      <c r="X454" s="21">
        <v>0</v>
      </c>
      <c r="Y454" s="21">
        <v>0</v>
      </c>
      <c r="Z454" s="21">
        <v>0.54</v>
      </c>
      <c r="AA454" s="21">
        <v>0.38</v>
      </c>
      <c r="AB454" s="21">
        <v>0.08</v>
      </c>
      <c r="AC454" s="21">
        <v>0</v>
      </c>
      <c r="AD454" s="21">
        <v>0</v>
      </c>
      <c r="AE454" s="21">
        <v>5.26</v>
      </c>
      <c r="AF454" s="21">
        <v>4.8899999999999997</v>
      </c>
      <c r="AG454" s="21">
        <v>12.7</v>
      </c>
      <c r="AH454" s="18" t="s">
        <v>4</v>
      </c>
      <c r="AI454" s="13" t="str">
        <f>VLOOKUP(AH454,'Hess and Brezowsky'!$B$2:$G$31,2,FALSE)</f>
        <v>Mixed</v>
      </c>
      <c r="AJ454" s="18" t="str">
        <f>VLOOKUP(AH454,'Hess and Brezowsky'!$B$2:$G$31,3,FALSE)</f>
        <v>A</v>
      </c>
      <c r="AK454" s="13" t="str">
        <f>VLOOKUP(AH454,'Hess and Brezowsky'!$B$2:$G$31,4,FALSE)</f>
        <v>Zonal Ridge across Central Europe</v>
      </c>
      <c r="AL454" s="29">
        <v>0.21784722222222222</v>
      </c>
      <c r="AM454" s="29">
        <v>0.49372685185185183</v>
      </c>
      <c r="AN454" s="30">
        <v>0.76960648148148147</v>
      </c>
    </row>
    <row r="455" spans="1:40" ht="15.75" customHeight="1" x14ac:dyDescent="0.2">
      <c r="A455" s="27">
        <v>45175</v>
      </c>
      <c r="B455" s="13">
        <v>2023</v>
      </c>
      <c r="C455" s="13">
        <v>249</v>
      </c>
      <c r="D455" s="13">
        <f t="shared" si="20"/>
        <v>4</v>
      </c>
      <c r="E455" s="31" t="s">
        <v>45</v>
      </c>
      <c r="F455" s="13">
        <f t="shared" si="19"/>
        <v>6</v>
      </c>
      <c r="G455" s="14">
        <v>0.7</v>
      </c>
      <c r="H455" s="14">
        <v>1</v>
      </c>
      <c r="I455" s="14">
        <v>1</v>
      </c>
      <c r="J455" s="14">
        <v>1</v>
      </c>
      <c r="K455" s="14">
        <v>1</v>
      </c>
      <c r="L455" s="14">
        <v>0.95</v>
      </c>
      <c r="M455" s="15">
        <v>79.108999999999995</v>
      </c>
      <c r="N455" s="16" t="str">
        <f t="shared" si="21"/>
        <v>E</v>
      </c>
      <c r="O455" s="17">
        <v>4.0999999999999996</v>
      </c>
      <c r="P455" s="16" t="s">
        <v>139</v>
      </c>
      <c r="Q455" s="18">
        <v>0</v>
      </c>
      <c r="R455" s="19">
        <v>26.5</v>
      </c>
      <c r="S455" s="19">
        <v>20.8</v>
      </c>
      <c r="T455" s="19">
        <v>33.700000000000003</v>
      </c>
      <c r="U455" s="20">
        <v>74.66</v>
      </c>
      <c r="V455" s="16" t="s">
        <v>9</v>
      </c>
      <c r="W455" s="21">
        <v>0.08</v>
      </c>
      <c r="X455" s="21">
        <v>0.54</v>
      </c>
      <c r="Y455" s="21">
        <v>0.25</v>
      </c>
      <c r="Z455" s="21">
        <v>0.12</v>
      </c>
      <c r="AA455" s="21">
        <v>0</v>
      </c>
      <c r="AB455" s="21">
        <v>0</v>
      </c>
      <c r="AC455" s="21">
        <v>0</v>
      </c>
      <c r="AD455" s="21">
        <v>0</v>
      </c>
      <c r="AE455" s="21">
        <v>4.09</v>
      </c>
      <c r="AF455" s="21">
        <v>3.51</v>
      </c>
      <c r="AG455" s="21">
        <v>10</v>
      </c>
      <c r="AH455" s="18" t="s">
        <v>27</v>
      </c>
      <c r="AI455" s="13" t="str">
        <f>VLOOKUP(AH455,'Hess and Brezowsky'!$B$2:$G$31,2,FALSE)</f>
        <v>Meridional</v>
      </c>
      <c r="AJ455" s="18" t="str">
        <f>VLOOKUP(AH455,'Hess and Brezowsky'!$B$2:$G$31,3,FALSE)</f>
        <v>A</v>
      </c>
      <c r="AK455" s="13" t="str">
        <f>VLOOKUP(AH455,'Hess and Brezowsky'!$B$2:$G$31,4,FALSE)</f>
        <v>Anticyclonic South-Easterly</v>
      </c>
      <c r="AL455" s="29">
        <v>0.21881944444444446</v>
      </c>
      <c r="AM455" s="29">
        <v>0.49349537037037039</v>
      </c>
      <c r="AN455" s="30">
        <v>0.76815972222222217</v>
      </c>
    </row>
    <row r="456" spans="1:40" ht="15.75" customHeight="1" x14ac:dyDescent="0.2">
      <c r="A456" s="27">
        <v>45176</v>
      </c>
      <c r="B456" s="13">
        <v>2023</v>
      </c>
      <c r="C456" s="13">
        <v>250</v>
      </c>
      <c r="D456" s="13">
        <f t="shared" si="20"/>
        <v>5</v>
      </c>
      <c r="E456" s="31" t="s">
        <v>45</v>
      </c>
      <c r="F456" s="13">
        <f t="shared" si="19"/>
        <v>6</v>
      </c>
      <c r="G456" s="14">
        <v>0.7</v>
      </c>
      <c r="H456" s="14">
        <v>1</v>
      </c>
      <c r="I456" s="14">
        <v>1</v>
      </c>
      <c r="J456" s="14">
        <v>1</v>
      </c>
      <c r="K456" s="14">
        <v>1</v>
      </c>
      <c r="L456" s="14">
        <v>0.87</v>
      </c>
      <c r="M456" s="15">
        <v>114.866</v>
      </c>
      <c r="N456" s="16" t="str">
        <f t="shared" si="21"/>
        <v>SE</v>
      </c>
      <c r="O456" s="17">
        <v>3.1</v>
      </c>
      <c r="P456" s="16" t="s">
        <v>139</v>
      </c>
      <c r="Q456" s="18">
        <v>0</v>
      </c>
      <c r="R456" s="19">
        <v>25.25</v>
      </c>
      <c r="S456" s="19">
        <v>18</v>
      </c>
      <c r="T456" s="19">
        <v>33.4</v>
      </c>
      <c r="U456" s="20">
        <v>121.29</v>
      </c>
      <c r="V456" s="16" t="s">
        <v>11</v>
      </c>
      <c r="W456" s="21">
        <v>0.04</v>
      </c>
      <c r="X456" s="21">
        <v>0.04</v>
      </c>
      <c r="Y456" s="21">
        <v>0.17</v>
      </c>
      <c r="Z456" s="21">
        <v>0.54</v>
      </c>
      <c r="AA456" s="21">
        <v>0</v>
      </c>
      <c r="AB456" s="21">
        <v>0.08</v>
      </c>
      <c r="AC456" s="21">
        <v>0.08</v>
      </c>
      <c r="AD456" s="21">
        <v>0.04</v>
      </c>
      <c r="AE456" s="21">
        <v>2.94</v>
      </c>
      <c r="AF456" s="21">
        <v>2.14</v>
      </c>
      <c r="AG456" s="21">
        <v>9.9</v>
      </c>
      <c r="AH456" s="18" t="s">
        <v>27</v>
      </c>
      <c r="AI456" s="13" t="str">
        <f>VLOOKUP(AH456,'Hess and Brezowsky'!$B$2:$G$31,2,FALSE)</f>
        <v>Meridional</v>
      </c>
      <c r="AJ456" s="18" t="str">
        <f>VLOOKUP(AH456,'Hess and Brezowsky'!$B$2:$G$31,3,FALSE)</f>
        <v>A</v>
      </c>
      <c r="AK456" s="13" t="str">
        <f>VLOOKUP(AH456,'Hess and Brezowsky'!$B$2:$G$31,4,FALSE)</f>
        <v>Anticyclonic South-Easterly</v>
      </c>
      <c r="AL456" s="29">
        <v>0.21980324074074073</v>
      </c>
      <c r="AM456" s="29">
        <v>0.4932523148148148</v>
      </c>
      <c r="AN456" s="30">
        <v>0.76670138888888884</v>
      </c>
    </row>
    <row r="457" spans="1:40" ht="15.75" customHeight="1" x14ac:dyDescent="0.2">
      <c r="A457" s="27">
        <v>45177</v>
      </c>
      <c r="B457" s="13">
        <v>2023</v>
      </c>
      <c r="C457" s="13">
        <v>251</v>
      </c>
      <c r="D457" s="13">
        <f t="shared" si="20"/>
        <v>6</v>
      </c>
      <c r="E457" s="31" t="s">
        <v>45</v>
      </c>
      <c r="F457" s="13">
        <f t="shared" si="19"/>
        <v>6</v>
      </c>
      <c r="G457" s="14">
        <v>0.62</v>
      </c>
      <c r="H457" s="14">
        <v>1</v>
      </c>
      <c r="I457" s="14">
        <v>1</v>
      </c>
      <c r="J457" s="14">
        <v>0.95</v>
      </c>
      <c r="K457" s="14">
        <v>1</v>
      </c>
      <c r="L457" s="14">
        <v>0.95</v>
      </c>
      <c r="M457" s="15">
        <v>166.55699999999999</v>
      </c>
      <c r="N457" s="16" t="str">
        <f t="shared" si="21"/>
        <v>S</v>
      </c>
      <c r="O457" s="17">
        <v>3.9</v>
      </c>
      <c r="P457" s="16" t="s">
        <v>138</v>
      </c>
      <c r="Q457" s="18">
        <v>0</v>
      </c>
      <c r="R457" s="19">
        <v>27.44</v>
      </c>
      <c r="S457" s="19">
        <v>20.2</v>
      </c>
      <c r="T457" s="19">
        <v>35.1</v>
      </c>
      <c r="U457" s="20">
        <v>168.22</v>
      </c>
      <c r="V457" s="16" t="s">
        <v>13</v>
      </c>
      <c r="W457" s="21">
        <v>0</v>
      </c>
      <c r="X457" s="21">
        <v>0</v>
      </c>
      <c r="Y457" s="21">
        <v>0.04</v>
      </c>
      <c r="Z457" s="21">
        <v>0.21</v>
      </c>
      <c r="AA457" s="21">
        <v>0.67</v>
      </c>
      <c r="AB457" s="21">
        <v>0.04</v>
      </c>
      <c r="AC457" s="21">
        <v>0</v>
      </c>
      <c r="AD457" s="21">
        <v>0.04</v>
      </c>
      <c r="AE457" s="21">
        <v>3.76</v>
      </c>
      <c r="AF457" s="21">
        <v>3.35</v>
      </c>
      <c r="AG457" s="21">
        <v>7.6</v>
      </c>
      <c r="AH457" s="18" t="s">
        <v>27</v>
      </c>
      <c r="AI457" s="13" t="str">
        <f>VLOOKUP(AH457,'Hess and Brezowsky'!$B$2:$G$31,2,FALSE)</f>
        <v>Meridional</v>
      </c>
      <c r="AJ457" s="18" t="str">
        <f>VLOOKUP(AH457,'Hess and Brezowsky'!$B$2:$G$31,3,FALSE)</f>
        <v>A</v>
      </c>
      <c r="AK457" s="13" t="str">
        <f>VLOOKUP(AH457,'Hess and Brezowsky'!$B$2:$G$31,4,FALSE)</f>
        <v>Anticyclonic South-Easterly</v>
      </c>
      <c r="AL457" s="29">
        <v>0.22077546296296297</v>
      </c>
      <c r="AM457" s="29">
        <v>0.49300925925925926</v>
      </c>
      <c r="AN457" s="30">
        <v>0.76524305555555561</v>
      </c>
    </row>
    <row r="458" spans="1:40" ht="15.75" customHeight="1" x14ac:dyDescent="0.2">
      <c r="A458" s="27">
        <v>45178</v>
      </c>
      <c r="B458" s="13">
        <v>2023</v>
      </c>
      <c r="C458" s="13">
        <v>252</v>
      </c>
      <c r="D458" s="13">
        <f t="shared" si="20"/>
        <v>7</v>
      </c>
      <c r="E458" s="31" t="s">
        <v>45</v>
      </c>
      <c r="F458" s="13">
        <f t="shared" si="19"/>
        <v>6</v>
      </c>
      <c r="G458" s="14">
        <v>0.62</v>
      </c>
      <c r="H458" s="14">
        <v>1</v>
      </c>
      <c r="I458" s="14">
        <v>1</v>
      </c>
      <c r="J458" s="14">
        <v>1</v>
      </c>
      <c r="K458" s="14">
        <v>1</v>
      </c>
      <c r="L458" s="14">
        <v>0.75</v>
      </c>
      <c r="M458" s="15">
        <v>148.309</v>
      </c>
      <c r="N458" s="16" t="str">
        <f t="shared" si="21"/>
        <v>SE</v>
      </c>
      <c r="O458" s="17">
        <v>5.9</v>
      </c>
      <c r="P458" s="16" t="s">
        <v>138</v>
      </c>
      <c r="Q458" s="18">
        <v>0</v>
      </c>
      <c r="R458" s="19">
        <v>27.78</v>
      </c>
      <c r="S458" s="19">
        <v>21.5</v>
      </c>
      <c r="T458" s="19">
        <v>35.299999999999997</v>
      </c>
      <c r="U458" s="20">
        <v>150.35</v>
      </c>
      <c r="V458" s="16" t="s">
        <v>11</v>
      </c>
      <c r="W458" s="21">
        <v>0</v>
      </c>
      <c r="X458" s="21">
        <v>0</v>
      </c>
      <c r="Y458" s="21">
        <v>0</v>
      </c>
      <c r="Z458" s="21">
        <v>0.54</v>
      </c>
      <c r="AA458" s="21">
        <v>0.46</v>
      </c>
      <c r="AB458" s="21">
        <v>0</v>
      </c>
      <c r="AC458" s="21">
        <v>0</v>
      </c>
      <c r="AD458" s="21">
        <v>0</v>
      </c>
      <c r="AE458" s="21">
        <v>6.61</v>
      </c>
      <c r="AF458" s="21">
        <v>6.38</v>
      </c>
      <c r="AG458" s="21">
        <v>15</v>
      </c>
      <c r="AH458" s="18" t="s">
        <v>35</v>
      </c>
      <c r="AI458" s="13" t="str">
        <f>VLOOKUP(AH458,'Hess and Brezowsky'!$B$2:$G$31,2,FALSE)</f>
        <v>Meridional</v>
      </c>
      <c r="AJ458" s="18" t="str">
        <f>VLOOKUP(AH458,'Hess and Brezowsky'!$B$2:$G$31,3,FALSE)</f>
        <v>A</v>
      </c>
      <c r="AK458" s="13" t="str">
        <f>VLOOKUP(AH458,'Hess and Brezowsky'!$B$2:$G$31,4,FALSE)</f>
        <v>Anticyclonic Southerly</v>
      </c>
      <c r="AL458" s="29">
        <v>0.22174768518518517</v>
      </c>
      <c r="AM458" s="29">
        <v>0.49276620370370372</v>
      </c>
      <c r="AN458" s="30">
        <v>0.76377314814814812</v>
      </c>
    </row>
    <row r="459" spans="1:40" ht="15.75" customHeight="1" x14ac:dyDescent="0.2">
      <c r="A459" s="27">
        <v>45179</v>
      </c>
      <c r="B459" s="13">
        <v>2023</v>
      </c>
      <c r="C459" s="13">
        <v>253</v>
      </c>
      <c r="D459" s="13">
        <f t="shared" si="20"/>
        <v>1</v>
      </c>
      <c r="E459" s="31" t="s">
        <v>45</v>
      </c>
      <c r="F459" s="13">
        <f t="shared" si="19"/>
        <v>6</v>
      </c>
      <c r="G459" s="14">
        <v>0.66</v>
      </c>
      <c r="H459" s="14">
        <v>1</v>
      </c>
      <c r="I459" s="14">
        <v>1</v>
      </c>
      <c r="J459" s="14">
        <v>1</v>
      </c>
      <c r="K459" s="14">
        <v>1</v>
      </c>
      <c r="L459" s="14">
        <v>0.75</v>
      </c>
      <c r="M459" s="15">
        <v>155.976</v>
      </c>
      <c r="N459" s="16" t="str">
        <f t="shared" si="21"/>
        <v>SE</v>
      </c>
      <c r="O459" s="17">
        <v>6.8</v>
      </c>
      <c r="P459" s="16" t="s">
        <v>138</v>
      </c>
      <c r="Q459" s="18">
        <v>0</v>
      </c>
      <c r="R459" s="19">
        <v>27.48</v>
      </c>
      <c r="S459" s="19">
        <v>21.1</v>
      </c>
      <c r="T459" s="19">
        <v>34.700000000000003</v>
      </c>
      <c r="U459" s="20">
        <v>155.33000000000001</v>
      </c>
      <c r="V459" s="16" t="s">
        <v>11</v>
      </c>
      <c r="W459" s="21">
        <v>0</v>
      </c>
      <c r="X459" s="21">
        <v>0</v>
      </c>
      <c r="Y459" s="21">
        <v>0</v>
      </c>
      <c r="Z459" s="21">
        <v>0.5</v>
      </c>
      <c r="AA459" s="21">
        <v>0.12</v>
      </c>
      <c r="AB459" s="21">
        <v>0.08</v>
      </c>
      <c r="AC459" s="21">
        <v>0.21</v>
      </c>
      <c r="AD459" s="21">
        <v>0.08</v>
      </c>
      <c r="AE459" s="21">
        <v>7.51</v>
      </c>
      <c r="AF459" s="21">
        <v>5.22</v>
      </c>
      <c r="AG459" s="21">
        <v>15.7</v>
      </c>
      <c r="AH459" s="18" t="s">
        <v>35</v>
      </c>
      <c r="AI459" s="13" t="str">
        <f>VLOOKUP(AH459,'Hess and Brezowsky'!$B$2:$G$31,2,FALSE)</f>
        <v>Meridional</v>
      </c>
      <c r="AJ459" s="18" t="str">
        <f>VLOOKUP(AH459,'Hess and Brezowsky'!$B$2:$G$31,3,FALSE)</f>
        <v>A</v>
      </c>
      <c r="AK459" s="13" t="str">
        <f>VLOOKUP(AH459,'Hess and Brezowsky'!$B$2:$G$31,4,FALSE)</f>
        <v>Anticyclonic Southerly</v>
      </c>
      <c r="AL459" s="29">
        <v>0.22273148148148147</v>
      </c>
      <c r="AM459" s="29">
        <v>0.49252314814814813</v>
      </c>
      <c r="AN459" s="30">
        <v>0.76230324074074074</v>
      </c>
    </row>
    <row r="460" spans="1:40" ht="15.75" customHeight="1" x14ac:dyDescent="0.2">
      <c r="A460" s="27">
        <v>45180</v>
      </c>
      <c r="B460" s="13">
        <v>2023</v>
      </c>
      <c r="C460" s="13">
        <v>254</v>
      </c>
      <c r="D460" s="13">
        <f t="shared" si="20"/>
        <v>2</v>
      </c>
      <c r="E460" s="31" t="s">
        <v>45</v>
      </c>
      <c r="F460" s="13">
        <f t="shared" si="19"/>
        <v>6</v>
      </c>
      <c r="G460" s="14">
        <v>1</v>
      </c>
      <c r="H460" s="14">
        <v>1</v>
      </c>
      <c r="I460" s="14">
        <v>0.79</v>
      </c>
      <c r="J460" s="14">
        <v>1</v>
      </c>
      <c r="K460" s="14">
        <v>1</v>
      </c>
      <c r="L460" s="14">
        <v>1</v>
      </c>
      <c r="M460" s="15">
        <v>15.069000000000001</v>
      </c>
      <c r="N460" s="16" t="str">
        <f t="shared" si="21"/>
        <v>N</v>
      </c>
      <c r="O460" s="17">
        <v>5.3</v>
      </c>
      <c r="P460" s="16" t="s">
        <v>137</v>
      </c>
      <c r="Q460" s="18">
        <v>0</v>
      </c>
      <c r="R460" s="19">
        <v>23.72</v>
      </c>
      <c r="S460" s="19">
        <v>20.6</v>
      </c>
      <c r="T460" s="19">
        <v>27.9</v>
      </c>
      <c r="U460" s="20">
        <v>7.94</v>
      </c>
      <c r="V460" s="16" t="s">
        <v>7</v>
      </c>
      <c r="W460" s="21">
        <v>0.46</v>
      </c>
      <c r="X460" s="21">
        <v>0.38</v>
      </c>
      <c r="Y460" s="21">
        <v>0</v>
      </c>
      <c r="Z460" s="21">
        <v>0</v>
      </c>
      <c r="AA460" s="21">
        <v>0</v>
      </c>
      <c r="AB460" s="21">
        <v>0</v>
      </c>
      <c r="AC460" s="21">
        <v>0.04</v>
      </c>
      <c r="AD460" s="21">
        <v>0.12</v>
      </c>
      <c r="AE460" s="21">
        <v>4.74</v>
      </c>
      <c r="AF460" s="21">
        <v>3.96</v>
      </c>
      <c r="AG460" s="21">
        <v>10</v>
      </c>
      <c r="AH460" s="18" t="s">
        <v>35</v>
      </c>
      <c r="AI460" s="13" t="str">
        <f>VLOOKUP(AH460,'Hess and Brezowsky'!$B$2:$G$31,2,FALSE)</f>
        <v>Meridional</v>
      </c>
      <c r="AJ460" s="18" t="str">
        <f>VLOOKUP(AH460,'Hess and Brezowsky'!$B$2:$G$31,3,FALSE)</f>
        <v>A</v>
      </c>
      <c r="AK460" s="13" t="str">
        <f>VLOOKUP(AH460,'Hess and Brezowsky'!$B$2:$G$31,4,FALSE)</f>
        <v>Anticyclonic Southerly</v>
      </c>
      <c r="AL460" s="29">
        <v>0.22370370370370371</v>
      </c>
      <c r="AM460" s="29">
        <v>0.49226851851851849</v>
      </c>
      <c r="AN460" s="30">
        <v>0.76083333333333336</v>
      </c>
    </row>
    <row r="461" spans="1:40" ht="15.75" customHeight="1" x14ac:dyDescent="0.2">
      <c r="A461" s="27">
        <v>45181</v>
      </c>
      <c r="B461" s="13">
        <v>2023</v>
      </c>
      <c r="C461" s="13">
        <v>255</v>
      </c>
      <c r="D461" s="13">
        <f t="shared" si="20"/>
        <v>3</v>
      </c>
      <c r="E461" s="31" t="s">
        <v>45</v>
      </c>
      <c r="F461" s="13">
        <f t="shared" si="19"/>
        <v>6</v>
      </c>
      <c r="G461" s="14">
        <v>1</v>
      </c>
      <c r="H461" s="14">
        <v>1</v>
      </c>
      <c r="I461" s="14">
        <v>1</v>
      </c>
      <c r="J461" s="14">
        <v>1</v>
      </c>
      <c r="K461" s="14">
        <v>1</v>
      </c>
      <c r="L461" s="14">
        <v>1</v>
      </c>
      <c r="M461" s="15">
        <v>335.12799999999999</v>
      </c>
      <c r="N461" s="16" t="str">
        <f t="shared" si="21"/>
        <v>NW</v>
      </c>
      <c r="O461" s="17">
        <v>3.1</v>
      </c>
      <c r="P461" s="16" t="s">
        <v>140</v>
      </c>
      <c r="Q461" s="18">
        <v>10.9</v>
      </c>
      <c r="R461" s="19">
        <v>19.16</v>
      </c>
      <c r="S461" s="19">
        <v>17.600000000000001</v>
      </c>
      <c r="T461" s="19">
        <v>21</v>
      </c>
      <c r="U461" s="20">
        <v>325.13</v>
      </c>
      <c r="V461" s="16" t="s">
        <v>6</v>
      </c>
      <c r="W461" s="21">
        <v>0.33</v>
      </c>
      <c r="X461" s="21">
        <v>0.04</v>
      </c>
      <c r="Y461" s="21">
        <v>0</v>
      </c>
      <c r="Z461" s="21">
        <v>0</v>
      </c>
      <c r="AA461" s="21">
        <v>0</v>
      </c>
      <c r="AB461" s="21">
        <v>0.04</v>
      </c>
      <c r="AC461" s="21">
        <v>0.17</v>
      </c>
      <c r="AD461" s="21">
        <v>0.42</v>
      </c>
      <c r="AE461" s="21">
        <v>2.74</v>
      </c>
      <c r="AF461" s="21">
        <v>2.12</v>
      </c>
      <c r="AG461" s="21">
        <v>5.8</v>
      </c>
      <c r="AH461" s="18" t="s">
        <v>12</v>
      </c>
      <c r="AI461" s="13" t="str">
        <f>VLOOKUP(AH461,'Hess and Brezowsky'!$B$2:$G$31,2,FALSE)</f>
        <v>Undefined</v>
      </c>
      <c r="AJ461" s="18" t="str">
        <f>VLOOKUP(AH461,'Hess and Brezowsky'!$B$2:$G$31,3,FALSE)</f>
        <v>M</v>
      </c>
      <c r="AK461" s="13" t="str">
        <f>VLOOKUP(AH461,'Hess and Brezowsky'!$B$2:$G$31,4,FALSE)</f>
        <v>Transistion / Undefined</v>
      </c>
      <c r="AL461" s="29">
        <v>0.22467592592592592</v>
      </c>
      <c r="AM461" s="29">
        <v>0.49201388888888886</v>
      </c>
      <c r="AN461" s="30">
        <v>0.75935185185185183</v>
      </c>
    </row>
    <row r="462" spans="1:40" ht="15.75" customHeight="1" x14ac:dyDescent="0.2">
      <c r="A462" s="27">
        <v>45182</v>
      </c>
      <c r="B462" s="13">
        <v>2023</v>
      </c>
      <c r="C462" s="13">
        <v>256</v>
      </c>
      <c r="D462" s="13">
        <f t="shared" si="20"/>
        <v>4</v>
      </c>
      <c r="E462" s="31" t="s">
        <v>45</v>
      </c>
      <c r="F462" s="13">
        <f t="shared" si="19"/>
        <v>5</v>
      </c>
      <c r="G462" s="14">
        <v>1</v>
      </c>
      <c r="H462" s="14">
        <v>1</v>
      </c>
      <c r="I462" s="14">
        <v>1</v>
      </c>
      <c r="J462" s="14">
        <v>1</v>
      </c>
      <c r="K462" s="14">
        <v>0.37</v>
      </c>
      <c r="L462" s="14">
        <v>1</v>
      </c>
      <c r="M462" s="15">
        <v>351.512</v>
      </c>
      <c r="N462" s="16" t="str">
        <f t="shared" si="21"/>
        <v>N</v>
      </c>
      <c r="O462" s="17">
        <v>2.7</v>
      </c>
      <c r="P462" s="16" t="s">
        <v>137</v>
      </c>
      <c r="Q462" s="18">
        <v>0.2</v>
      </c>
      <c r="R462" s="19">
        <v>19.18</v>
      </c>
      <c r="S462" s="19">
        <v>17.100000000000001</v>
      </c>
      <c r="T462" s="19">
        <v>22.1</v>
      </c>
      <c r="U462" s="20">
        <v>346.15</v>
      </c>
      <c r="V462" s="16" t="s">
        <v>7</v>
      </c>
      <c r="W462" s="21">
        <v>0</v>
      </c>
      <c r="X462" s="21">
        <v>0.04</v>
      </c>
      <c r="Y462" s="21">
        <v>0.12</v>
      </c>
      <c r="Z462" s="21">
        <v>0.21</v>
      </c>
      <c r="AA462" s="21">
        <v>0.04</v>
      </c>
      <c r="AB462" s="21">
        <v>0</v>
      </c>
      <c r="AC462" s="21">
        <v>0.17</v>
      </c>
      <c r="AD462" s="21">
        <v>0.42</v>
      </c>
      <c r="AE462" s="21">
        <v>2.63</v>
      </c>
      <c r="AF462" s="21">
        <v>0.67</v>
      </c>
      <c r="AG462" s="21">
        <v>5.2</v>
      </c>
      <c r="AH462" s="18" t="s">
        <v>12</v>
      </c>
      <c r="AI462" s="13" t="str">
        <f>VLOOKUP(AH462,'Hess and Brezowsky'!$B$2:$G$31,2,FALSE)</f>
        <v>Undefined</v>
      </c>
      <c r="AJ462" s="18" t="str">
        <f>VLOOKUP(AH462,'Hess and Brezowsky'!$B$2:$G$31,3,FALSE)</f>
        <v>M</v>
      </c>
      <c r="AK462" s="13" t="str">
        <f>VLOOKUP(AH462,'Hess and Brezowsky'!$B$2:$G$31,4,FALSE)</f>
        <v>Transistion / Undefined</v>
      </c>
      <c r="AL462" s="29">
        <v>0.22565972222222222</v>
      </c>
      <c r="AM462" s="29">
        <v>0.49177083333333332</v>
      </c>
      <c r="AN462" s="30">
        <v>0.75788194444444446</v>
      </c>
    </row>
    <row r="463" spans="1:40" ht="15.75" customHeight="1" x14ac:dyDescent="0.2">
      <c r="A463" s="27">
        <v>45183</v>
      </c>
      <c r="B463" s="13">
        <v>2023</v>
      </c>
      <c r="C463" s="13">
        <v>257</v>
      </c>
      <c r="D463" s="13">
        <f t="shared" si="20"/>
        <v>5</v>
      </c>
      <c r="E463" s="13"/>
      <c r="F463" s="13">
        <f t="shared" si="19"/>
        <v>5</v>
      </c>
      <c r="G463" s="14">
        <v>1</v>
      </c>
      <c r="H463" s="14">
        <v>1</v>
      </c>
      <c r="I463" s="14">
        <v>1</v>
      </c>
      <c r="J463" s="14">
        <v>1</v>
      </c>
      <c r="K463" s="14">
        <v>0</v>
      </c>
      <c r="L463" s="14">
        <v>1</v>
      </c>
      <c r="M463" s="15">
        <v>121.544</v>
      </c>
      <c r="N463" s="16" t="str">
        <f t="shared" si="21"/>
        <v>SE</v>
      </c>
      <c r="O463" s="17">
        <v>3.4</v>
      </c>
      <c r="P463" s="16" t="s">
        <v>137</v>
      </c>
      <c r="Q463" s="18">
        <v>0</v>
      </c>
      <c r="R463" s="19">
        <v>19.760000000000002</v>
      </c>
      <c r="S463" s="19">
        <v>16.2</v>
      </c>
      <c r="T463" s="19">
        <v>25.4</v>
      </c>
      <c r="U463" s="20">
        <v>120.92</v>
      </c>
      <c r="V463" s="16" t="s">
        <v>11</v>
      </c>
      <c r="W463" s="21">
        <v>0</v>
      </c>
      <c r="X463" s="21">
        <v>0</v>
      </c>
      <c r="Y463" s="21">
        <v>0.38</v>
      </c>
      <c r="Z463" s="21">
        <v>0.57999999999999996</v>
      </c>
      <c r="AA463" s="21">
        <v>0.04</v>
      </c>
      <c r="AB463" s="21">
        <v>0</v>
      </c>
      <c r="AC463" s="21">
        <v>0</v>
      </c>
      <c r="AD463" s="21">
        <v>0</v>
      </c>
      <c r="AE463" s="21">
        <v>3.37</v>
      </c>
      <c r="AF463" s="21">
        <v>3.22</v>
      </c>
      <c r="AG463" s="21">
        <v>10</v>
      </c>
      <c r="AH463" s="18" t="s">
        <v>27</v>
      </c>
      <c r="AI463" s="13" t="str">
        <f>VLOOKUP(AH463,'Hess and Brezowsky'!$B$2:$G$31,2,FALSE)</f>
        <v>Meridional</v>
      </c>
      <c r="AJ463" s="18" t="str">
        <f>VLOOKUP(AH463,'Hess and Brezowsky'!$B$2:$G$31,3,FALSE)</f>
        <v>A</v>
      </c>
      <c r="AK463" s="13" t="str">
        <f>VLOOKUP(AH463,'Hess and Brezowsky'!$B$2:$G$31,4,FALSE)</f>
        <v>Anticyclonic South-Easterly</v>
      </c>
      <c r="AL463" s="29">
        <v>0.22663194444444446</v>
      </c>
      <c r="AM463" s="29">
        <v>0.49151620370370369</v>
      </c>
      <c r="AN463" s="30">
        <v>0.75638888888888889</v>
      </c>
    </row>
    <row r="464" spans="1:40" ht="15.75" customHeight="1" x14ac:dyDescent="0.2">
      <c r="A464" s="27">
        <v>45184</v>
      </c>
      <c r="B464" s="13">
        <v>2023</v>
      </c>
      <c r="C464" s="13">
        <v>258</v>
      </c>
      <c r="D464" s="13">
        <f t="shared" si="20"/>
        <v>6</v>
      </c>
      <c r="E464" s="13"/>
      <c r="F464" s="13">
        <f t="shared" si="19"/>
        <v>5</v>
      </c>
      <c r="G464" s="14">
        <v>0.95</v>
      </c>
      <c r="H464" s="14">
        <v>1</v>
      </c>
      <c r="I464" s="14">
        <v>1</v>
      </c>
      <c r="J464" s="14">
        <v>1</v>
      </c>
      <c r="K464" s="14">
        <v>0</v>
      </c>
      <c r="L464" s="14">
        <v>1</v>
      </c>
      <c r="M464" s="15">
        <v>130.095</v>
      </c>
      <c r="N464" s="16" t="str">
        <f t="shared" si="21"/>
        <v>SE</v>
      </c>
      <c r="O464" s="17">
        <v>6.2</v>
      </c>
      <c r="P464" s="16" t="s">
        <v>138</v>
      </c>
      <c r="Q464" s="18">
        <v>0</v>
      </c>
      <c r="R464" s="19">
        <v>21.03</v>
      </c>
      <c r="S464" s="19">
        <v>15.9</v>
      </c>
      <c r="T464" s="19">
        <v>28.3</v>
      </c>
      <c r="U464" s="20">
        <v>132.72999999999999</v>
      </c>
      <c r="V464" s="16" t="s">
        <v>11</v>
      </c>
      <c r="W464" s="21">
        <v>0</v>
      </c>
      <c r="X464" s="21">
        <v>0</v>
      </c>
      <c r="Y464" s="21">
        <v>0.21</v>
      </c>
      <c r="Z464" s="21">
        <v>0.62</v>
      </c>
      <c r="AA464" s="21">
        <v>0.17</v>
      </c>
      <c r="AB464" s="21">
        <v>0</v>
      </c>
      <c r="AC464" s="21">
        <v>0</v>
      </c>
      <c r="AD464" s="21">
        <v>0</v>
      </c>
      <c r="AE464" s="21">
        <v>6.14</v>
      </c>
      <c r="AF464" s="21">
        <v>5.79</v>
      </c>
      <c r="AG464" s="21">
        <v>12</v>
      </c>
      <c r="AH464" s="18" t="s">
        <v>27</v>
      </c>
      <c r="AI464" s="13" t="str">
        <f>VLOOKUP(AH464,'Hess and Brezowsky'!$B$2:$G$31,2,FALSE)</f>
        <v>Meridional</v>
      </c>
      <c r="AJ464" s="18" t="str">
        <f>VLOOKUP(AH464,'Hess and Brezowsky'!$B$2:$G$31,3,FALSE)</f>
        <v>A</v>
      </c>
      <c r="AK464" s="13" t="str">
        <f>VLOOKUP(AH464,'Hess and Brezowsky'!$B$2:$G$31,4,FALSE)</f>
        <v>Anticyclonic South-Easterly</v>
      </c>
      <c r="AL464" s="29">
        <v>0.22760416666666666</v>
      </c>
      <c r="AM464" s="29">
        <v>0.49126157407407406</v>
      </c>
      <c r="AN464" s="30">
        <v>0.75490740740740736</v>
      </c>
    </row>
    <row r="465" spans="1:40" ht="15.75" customHeight="1" x14ac:dyDescent="0.2">
      <c r="A465" s="27">
        <v>45185</v>
      </c>
      <c r="B465" s="13">
        <v>2023</v>
      </c>
      <c r="C465" s="13">
        <v>259</v>
      </c>
      <c r="D465" s="13">
        <f t="shared" si="20"/>
        <v>7</v>
      </c>
      <c r="E465" s="13"/>
      <c r="F465" s="13">
        <f t="shared" si="19"/>
        <v>4</v>
      </c>
      <c r="G465" s="14">
        <v>1</v>
      </c>
      <c r="H465" s="14">
        <v>1</v>
      </c>
      <c r="I465" s="14">
        <v>0.25</v>
      </c>
      <c r="J465" s="14">
        <v>1</v>
      </c>
      <c r="K465" s="14">
        <v>0</v>
      </c>
      <c r="L465" s="14">
        <v>1</v>
      </c>
      <c r="M465" s="15">
        <v>156.91</v>
      </c>
      <c r="N465" s="16" t="str">
        <f t="shared" si="21"/>
        <v>SE</v>
      </c>
      <c r="O465" s="17">
        <v>4.0999999999999996</v>
      </c>
      <c r="P465" s="16" t="s">
        <v>137</v>
      </c>
      <c r="Q465" s="18">
        <v>0</v>
      </c>
      <c r="R465" s="19">
        <v>21.02</v>
      </c>
      <c r="S465" s="19">
        <v>16.5</v>
      </c>
      <c r="T465" s="19">
        <v>26.1</v>
      </c>
      <c r="U465" s="20">
        <v>147.49</v>
      </c>
      <c r="V465" s="16" t="s">
        <v>11</v>
      </c>
      <c r="W465" s="21">
        <v>0</v>
      </c>
      <c r="X465" s="21">
        <v>0</v>
      </c>
      <c r="Y465" s="21">
        <v>0.12</v>
      </c>
      <c r="Z465" s="21">
        <v>0.46</v>
      </c>
      <c r="AA465" s="21">
        <v>0.33</v>
      </c>
      <c r="AB465" s="21">
        <v>0</v>
      </c>
      <c r="AC465" s="21">
        <v>0.04</v>
      </c>
      <c r="AD465" s="21">
        <v>0.04</v>
      </c>
      <c r="AE465" s="21">
        <v>3.28</v>
      </c>
      <c r="AF465" s="21">
        <v>2.63</v>
      </c>
      <c r="AG465" s="21">
        <v>11.5</v>
      </c>
      <c r="AH465" s="18" t="s">
        <v>27</v>
      </c>
      <c r="AI465" s="13" t="str">
        <f>VLOOKUP(AH465,'Hess and Brezowsky'!$B$2:$G$31,2,FALSE)</f>
        <v>Meridional</v>
      </c>
      <c r="AJ465" s="18" t="str">
        <f>VLOOKUP(AH465,'Hess and Brezowsky'!$B$2:$G$31,3,FALSE)</f>
        <v>A</v>
      </c>
      <c r="AK465" s="13" t="str">
        <f>VLOOKUP(AH465,'Hess and Brezowsky'!$B$2:$G$31,4,FALSE)</f>
        <v>Anticyclonic South-Easterly</v>
      </c>
      <c r="AL465" s="29">
        <v>0.22858796296296297</v>
      </c>
      <c r="AM465" s="29">
        <v>0.49100694444444443</v>
      </c>
      <c r="AN465" s="30">
        <v>0.7534143518518519</v>
      </c>
    </row>
    <row r="466" spans="1:40" ht="15.75" customHeight="1" x14ac:dyDescent="0.2">
      <c r="A466" s="27">
        <v>45186</v>
      </c>
      <c r="B466" s="13">
        <v>2023</v>
      </c>
      <c r="C466" s="13">
        <v>260</v>
      </c>
      <c r="D466" s="13">
        <f t="shared" si="20"/>
        <v>1</v>
      </c>
      <c r="E466" s="13"/>
      <c r="F466" s="13">
        <f t="shared" si="19"/>
        <v>4</v>
      </c>
      <c r="G466" s="14">
        <v>1</v>
      </c>
      <c r="H466" s="14">
        <v>1</v>
      </c>
      <c r="I466" s="14">
        <v>0</v>
      </c>
      <c r="J466" s="14">
        <v>1</v>
      </c>
      <c r="K466" s="14">
        <v>0</v>
      </c>
      <c r="L466" s="14">
        <v>0.95</v>
      </c>
      <c r="M466" s="15">
        <v>174.04300000000001</v>
      </c>
      <c r="N466" s="16" t="str">
        <f t="shared" si="21"/>
        <v>S</v>
      </c>
      <c r="O466" s="17">
        <v>5.9</v>
      </c>
      <c r="P466" s="16" t="s">
        <v>137</v>
      </c>
      <c r="Q466" s="18">
        <v>5.9</v>
      </c>
      <c r="R466" s="19">
        <v>21.31</v>
      </c>
      <c r="S466" s="19">
        <v>17.399999999999999</v>
      </c>
      <c r="T466" s="19">
        <v>26.7</v>
      </c>
      <c r="U466" s="20">
        <v>173.14</v>
      </c>
      <c r="V466" s="16" t="s">
        <v>13</v>
      </c>
      <c r="W466" s="21">
        <v>0</v>
      </c>
      <c r="X466" s="21">
        <v>0</v>
      </c>
      <c r="Y466" s="21">
        <v>0</v>
      </c>
      <c r="Z466" s="21">
        <v>0.46</v>
      </c>
      <c r="AA466" s="21">
        <v>0.38</v>
      </c>
      <c r="AB466" s="21">
        <v>0.08</v>
      </c>
      <c r="AC466" s="21">
        <v>0.04</v>
      </c>
      <c r="AD466" s="21">
        <v>0.04</v>
      </c>
      <c r="AE466" s="21">
        <v>5.74</v>
      </c>
      <c r="AF466" s="21">
        <v>4.32</v>
      </c>
      <c r="AG466" s="21">
        <v>19.100000000000001</v>
      </c>
      <c r="AH466" s="18" t="s">
        <v>27</v>
      </c>
      <c r="AI466" s="13" t="str">
        <f>VLOOKUP(AH466,'Hess and Brezowsky'!$B$2:$G$31,2,FALSE)</f>
        <v>Meridional</v>
      </c>
      <c r="AJ466" s="18" t="str">
        <f>VLOOKUP(AH466,'Hess and Brezowsky'!$B$2:$G$31,3,FALSE)</f>
        <v>A</v>
      </c>
      <c r="AK466" s="13" t="str">
        <f>VLOOKUP(AH466,'Hess and Brezowsky'!$B$2:$G$31,4,FALSE)</f>
        <v>Anticyclonic South-Easterly</v>
      </c>
      <c r="AL466" s="29">
        <v>0.22956018518518517</v>
      </c>
      <c r="AM466" s="29">
        <v>0.49074074074074076</v>
      </c>
      <c r="AN466" s="30">
        <v>0.75193287037037038</v>
      </c>
    </row>
    <row r="467" spans="1:40" ht="15.75" customHeight="1" x14ac:dyDescent="0.2">
      <c r="A467" s="27">
        <v>45187</v>
      </c>
      <c r="B467" s="13">
        <v>2023</v>
      </c>
      <c r="C467" s="13">
        <v>261</v>
      </c>
      <c r="D467" s="13">
        <f t="shared" si="20"/>
        <v>2</v>
      </c>
      <c r="E467" s="13"/>
      <c r="F467" s="13">
        <f t="shared" si="19"/>
        <v>4</v>
      </c>
      <c r="G467" s="14">
        <v>1</v>
      </c>
      <c r="H467" s="14">
        <v>1</v>
      </c>
      <c r="I467" s="14">
        <v>0.33</v>
      </c>
      <c r="J467" s="14">
        <v>1</v>
      </c>
      <c r="K467" s="14">
        <v>0</v>
      </c>
      <c r="L467" s="14">
        <v>1</v>
      </c>
      <c r="M467" s="15">
        <v>235.40799999999999</v>
      </c>
      <c r="N467" s="16" t="str">
        <f t="shared" si="21"/>
        <v>SW</v>
      </c>
      <c r="O467" s="17">
        <v>9.6</v>
      </c>
      <c r="P467" s="16" t="s">
        <v>137</v>
      </c>
      <c r="Q467" s="18">
        <v>6.2</v>
      </c>
      <c r="R467" s="19">
        <v>19.149999999999999</v>
      </c>
      <c r="S467" s="19">
        <v>14.9</v>
      </c>
      <c r="T467" s="19">
        <v>24.4</v>
      </c>
      <c r="U467" s="20">
        <v>237.38</v>
      </c>
      <c r="V467" s="16" t="s">
        <v>5</v>
      </c>
      <c r="W467" s="21">
        <v>0</v>
      </c>
      <c r="X467" s="21">
        <v>0</v>
      </c>
      <c r="Y467" s="21">
        <v>0</v>
      </c>
      <c r="Z467" s="21">
        <v>0</v>
      </c>
      <c r="AA467" s="21">
        <v>0.08</v>
      </c>
      <c r="AB467" s="21">
        <v>0.57999999999999996</v>
      </c>
      <c r="AC467" s="21">
        <v>0.33</v>
      </c>
      <c r="AD467" s="21">
        <v>0</v>
      </c>
      <c r="AE467" s="21">
        <v>9.19</v>
      </c>
      <c r="AF467" s="21">
        <v>8.15</v>
      </c>
      <c r="AG467" s="21">
        <v>14.7</v>
      </c>
      <c r="AH467" s="18" t="s">
        <v>33</v>
      </c>
      <c r="AI467" s="13" t="str">
        <f>VLOOKUP(AH467,'Hess and Brezowsky'!$B$2:$G$31,2,FALSE)</f>
        <v>Mixed</v>
      </c>
      <c r="AJ467" s="18" t="str">
        <f>VLOOKUP(AH467,'Hess and Brezowsky'!$B$2:$G$31,3,FALSE)</f>
        <v>C</v>
      </c>
      <c r="AK467" s="13" t="str">
        <f>VLOOKUP(AH467,'Hess and Brezowsky'!$B$2:$G$31,4,FALSE)</f>
        <v>Cyclonic South-Westerly</v>
      </c>
      <c r="AL467" s="29">
        <v>0.23054398148148147</v>
      </c>
      <c r="AM467" s="29">
        <v>0.49048611111111112</v>
      </c>
      <c r="AN467" s="30">
        <v>0.75043981481481481</v>
      </c>
    </row>
    <row r="468" spans="1:40" ht="15.75" customHeight="1" x14ac:dyDescent="0.2">
      <c r="A468" s="27">
        <v>45188</v>
      </c>
      <c r="B468" s="13">
        <v>2023</v>
      </c>
      <c r="C468" s="13">
        <v>262</v>
      </c>
      <c r="D468" s="13">
        <f t="shared" si="20"/>
        <v>3</v>
      </c>
      <c r="E468" s="13"/>
      <c r="F468" s="13">
        <f t="shared" si="19"/>
        <v>4</v>
      </c>
      <c r="G468" s="14">
        <v>1</v>
      </c>
      <c r="H468" s="14">
        <v>1</v>
      </c>
      <c r="I468" s="14">
        <v>0</v>
      </c>
      <c r="J468" s="14">
        <v>1</v>
      </c>
      <c r="K468" s="14">
        <v>0</v>
      </c>
      <c r="L468" s="14">
        <v>1</v>
      </c>
      <c r="M468" s="15">
        <v>232.125</v>
      </c>
      <c r="N468" s="16" t="str">
        <f t="shared" si="21"/>
        <v>SW</v>
      </c>
      <c r="O468" s="17">
        <v>9.4</v>
      </c>
      <c r="P468" s="16" t="s">
        <v>137</v>
      </c>
      <c r="Q468" s="18">
        <v>0</v>
      </c>
      <c r="R468" s="19">
        <v>17.59</v>
      </c>
      <c r="S468" s="19">
        <v>13.4</v>
      </c>
      <c r="T468" s="19">
        <v>21.5</v>
      </c>
      <c r="U468" s="20">
        <v>232.7</v>
      </c>
      <c r="V468" s="16" t="s">
        <v>5</v>
      </c>
      <c r="W468" s="21">
        <v>0</v>
      </c>
      <c r="X468" s="21">
        <v>0</v>
      </c>
      <c r="Y468" s="21">
        <v>0</v>
      </c>
      <c r="Z468" s="21">
        <v>0</v>
      </c>
      <c r="AA468" s="21">
        <v>0</v>
      </c>
      <c r="AB468" s="21">
        <v>0.75</v>
      </c>
      <c r="AC468" s="21">
        <v>0.25</v>
      </c>
      <c r="AD468" s="21">
        <v>0</v>
      </c>
      <c r="AE468" s="21">
        <v>8.41</v>
      </c>
      <c r="AF468" s="21">
        <v>8.06</v>
      </c>
      <c r="AG468" s="21">
        <v>12.9</v>
      </c>
      <c r="AH468" s="18" t="s">
        <v>33</v>
      </c>
      <c r="AI468" s="13" t="str">
        <f>VLOOKUP(AH468,'Hess and Brezowsky'!$B$2:$G$31,2,FALSE)</f>
        <v>Mixed</v>
      </c>
      <c r="AJ468" s="18" t="str">
        <f>VLOOKUP(AH468,'Hess and Brezowsky'!$B$2:$G$31,3,FALSE)</f>
        <v>C</v>
      </c>
      <c r="AK468" s="13" t="str">
        <f>VLOOKUP(AH468,'Hess and Brezowsky'!$B$2:$G$31,4,FALSE)</f>
        <v>Cyclonic South-Westerly</v>
      </c>
      <c r="AL468" s="29">
        <v>0.23151620370370371</v>
      </c>
      <c r="AM468" s="29">
        <v>0.49023148148148149</v>
      </c>
      <c r="AN468" s="30">
        <v>0.74894675925925924</v>
      </c>
    </row>
    <row r="469" spans="1:40" ht="15.75" customHeight="1" x14ac:dyDescent="0.2">
      <c r="A469" s="27">
        <v>45189</v>
      </c>
      <c r="B469" s="13">
        <v>2023</v>
      </c>
      <c r="C469" s="13">
        <v>263</v>
      </c>
      <c r="D469" s="13">
        <f t="shared" si="20"/>
        <v>4</v>
      </c>
      <c r="E469" s="13"/>
      <c r="F469" s="13">
        <f t="shared" si="19"/>
        <v>5</v>
      </c>
      <c r="G469" s="14">
        <v>1</v>
      </c>
      <c r="H469" s="14">
        <v>1</v>
      </c>
      <c r="I469" s="14">
        <v>1</v>
      </c>
      <c r="J469" s="14">
        <v>1</v>
      </c>
      <c r="K469" s="14">
        <v>0</v>
      </c>
      <c r="L469" s="14">
        <v>1</v>
      </c>
      <c r="M469" s="15">
        <v>205.34299999999999</v>
      </c>
      <c r="N469" s="16" t="str">
        <f t="shared" si="21"/>
        <v>SW</v>
      </c>
      <c r="O469" s="17">
        <v>10.7</v>
      </c>
      <c r="P469" s="16" t="s">
        <v>137</v>
      </c>
      <c r="Q469" s="18">
        <v>0</v>
      </c>
      <c r="R469" s="19">
        <v>20.14</v>
      </c>
      <c r="S469" s="19">
        <v>15.9</v>
      </c>
      <c r="T469" s="19">
        <v>24.4</v>
      </c>
      <c r="U469" s="20">
        <v>200.8</v>
      </c>
      <c r="V469" s="16" t="s">
        <v>13</v>
      </c>
      <c r="W469" s="21">
        <v>0</v>
      </c>
      <c r="X469" s="21">
        <v>0</v>
      </c>
      <c r="Y469" s="21">
        <v>0</v>
      </c>
      <c r="Z469" s="21">
        <v>0</v>
      </c>
      <c r="AA469" s="21">
        <v>0.67</v>
      </c>
      <c r="AB469" s="21">
        <v>0.33</v>
      </c>
      <c r="AC469" s="21">
        <v>0</v>
      </c>
      <c r="AD469" s="21">
        <v>0</v>
      </c>
      <c r="AE469" s="21">
        <v>9.67</v>
      </c>
      <c r="AF469" s="21">
        <v>9.6199999999999992</v>
      </c>
      <c r="AG469" s="21">
        <v>14.5</v>
      </c>
      <c r="AH469" s="18" t="s">
        <v>33</v>
      </c>
      <c r="AI469" s="13" t="str">
        <f>VLOOKUP(AH469,'Hess and Brezowsky'!$B$2:$G$31,2,FALSE)</f>
        <v>Mixed</v>
      </c>
      <c r="AJ469" s="18" t="str">
        <f>VLOOKUP(AH469,'Hess and Brezowsky'!$B$2:$G$31,3,FALSE)</f>
        <v>C</v>
      </c>
      <c r="AK469" s="13" t="str">
        <f>VLOOKUP(AH469,'Hess and Brezowsky'!$B$2:$G$31,4,FALSE)</f>
        <v>Cyclonic South-Westerly</v>
      </c>
      <c r="AL469" s="29">
        <v>0.23250000000000001</v>
      </c>
      <c r="AM469" s="29">
        <v>0.48997685185185186</v>
      </c>
      <c r="AN469" s="30">
        <v>0.74745370370370368</v>
      </c>
    </row>
    <row r="470" spans="1:40" ht="15.75" customHeight="1" x14ac:dyDescent="0.2">
      <c r="A470" s="27">
        <v>45190</v>
      </c>
      <c r="B470" s="13">
        <v>2023</v>
      </c>
      <c r="C470" s="13">
        <v>264</v>
      </c>
      <c r="D470" s="13">
        <f t="shared" si="20"/>
        <v>5</v>
      </c>
      <c r="E470" s="13"/>
      <c r="F470" s="13">
        <f t="shared" si="19"/>
        <v>4</v>
      </c>
      <c r="G470" s="14">
        <v>0</v>
      </c>
      <c r="H470" s="14">
        <v>1</v>
      </c>
      <c r="I470" s="14">
        <v>1</v>
      </c>
      <c r="J470" s="14">
        <v>1</v>
      </c>
      <c r="K470" s="14">
        <v>0</v>
      </c>
      <c r="L470" s="14">
        <v>1</v>
      </c>
      <c r="M470" s="15">
        <v>210.10499999999999</v>
      </c>
      <c r="N470" s="16" t="str">
        <f t="shared" si="21"/>
        <v>SW</v>
      </c>
      <c r="O470" s="17">
        <v>9.1999999999999993</v>
      </c>
      <c r="P470" s="16" t="s">
        <v>140</v>
      </c>
      <c r="Q470" s="18">
        <v>13.1</v>
      </c>
      <c r="R470" s="19">
        <v>16.309999999999999</v>
      </c>
      <c r="S470" s="19">
        <v>13.6</v>
      </c>
      <c r="T470" s="19">
        <v>20</v>
      </c>
      <c r="U470" s="20">
        <v>208.76</v>
      </c>
      <c r="V470" s="16" t="s">
        <v>5</v>
      </c>
      <c r="W470" s="21">
        <v>0</v>
      </c>
      <c r="X470" s="21">
        <v>0</v>
      </c>
      <c r="Y470" s="21">
        <v>0</v>
      </c>
      <c r="Z470" s="21">
        <v>0</v>
      </c>
      <c r="AA470" s="21">
        <v>0.46</v>
      </c>
      <c r="AB470" s="21">
        <v>0.46</v>
      </c>
      <c r="AC470" s="21">
        <v>0.08</v>
      </c>
      <c r="AD470" s="21">
        <v>0</v>
      </c>
      <c r="AE470" s="21">
        <v>8.91</v>
      </c>
      <c r="AF470" s="21">
        <v>8.44</v>
      </c>
      <c r="AG470" s="21">
        <v>14.7</v>
      </c>
      <c r="AH470" s="18" t="s">
        <v>23</v>
      </c>
      <c r="AI470" s="13" t="str">
        <f>VLOOKUP(AH470,'Hess and Brezowsky'!$B$2:$G$31,2,FALSE)</f>
        <v>Meridional</v>
      </c>
      <c r="AJ470" s="18" t="str">
        <f>VLOOKUP(AH470,'Hess and Brezowsky'!$B$2:$G$31,3,FALSE)</f>
        <v>M</v>
      </c>
      <c r="AK470" s="13" t="str">
        <f>VLOOKUP(AH470,'Hess and Brezowsky'!$B$2:$G$31,4,FALSE)</f>
        <v>Trough over Wester Europe</v>
      </c>
      <c r="AL470" s="29">
        <v>0.23347222222222222</v>
      </c>
      <c r="AM470" s="29">
        <v>0.48972222222222223</v>
      </c>
      <c r="AN470" s="30">
        <v>0.74596064814814811</v>
      </c>
    </row>
    <row r="471" spans="1:40" ht="15.75" customHeight="1" x14ac:dyDescent="0.2">
      <c r="A471" s="27">
        <v>45191</v>
      </c>
      <c r="B471" s="13">
        <v>2023</v>
      </c>
      <c r="C471" s="13">
        <v>265</v>
      </c>
      <c r="D471" s="13">
        <f t="shared" si="20"/>
        <v>6</v>
      </c>
      <c r="E471" s="13"/>
      <c r="F471" s="13">
        <f t="shared" si="19"/>
        <v>5</v>
      </c>
      <c r="G471" s="14">
        <v>1</v>
      </c>
      <c r="H471" s="14">
        <v>1</v>
      </c>
      <c r="I471" s="14">
        <v>1</v>
      </c>
      <c r="J471" s="14">
        <v>1</v>
      </c>
      <c r="K471" s="14">
        <v>0</v>
      </c>
      <c r="L471" s="14">
        <v>1</v>
      </c>
      <c r="M471" s="15">
        <v>243.97300000000001</v>
      </c>
      <c r="N471" s="16" t="str">
        <f t="shared" si="21"/>
        <v>SW</v>
      </c>
      <c r="O471" s="17">
        <v>8.9</v>
      </c>
      <c r="P471" s="16" t="s">
        <v>137</v>
      </c>
      <c r="Q471" s="18">
        <v>3.2</v>
      </c>
      <c r="R471" s="19">
        <v>13.85</v>
      </c>
      <c r="S471" s="19">
        <v>12.4</v>
      </c>
      <c r="T471" s="19">
        <v>17.3</v>
      </c>
      <c r="U471" s="20">
        <v>245.66</v>
      </c>
      <c r="V471" s="16" t="s">
        <v>5</v>
      </c>
      <c r="W471" s="21">
        <v>0</v>
      </c>
      <c r="X471" s="21">
        <v>0</v>
      </c>
      <c r="Y471" s="21">
        <v>0</v>
      </c>
      <c r="Z471" s="21">
        <v>0</v>
      </c>
      <c r="AA471" s="21">
        <v>0.17</v>
      </c>
      <c r="AB471" s="21">
        <v>0.25</v>
      </c>
      <c r="AC471" s="21">
        <v>0.57999999999999996</v>
      </c>
      <c r="AD471" s="21">
        <v>0</v>
      </c>
      <c r="AE471" s="21">
        <v>9.4499999999999993</v>
      </c>
      <c r="AF471" s="21">
        <v>8.02</v>
      </c>
      <c r="AG471" s="21">
        <v>13.8</v>
      </c>
      <c r="AH471" s="18" t="s">
        <v>23</v>
      </c>
      <c r="AI471" s="13" t="str">
        <f>VLOOKUP(AH471,'Hess and Brezowsky'!$B$2:$G$31,2,FALSE)</f>
        <v>Meridional</v>
      </c>
      <c r="AJ471" s="18" t="str">
        <f>VLOOKUP(AH471,'Hess and Brezowsky'!$B$2:$G$31,3,FALSE)</f>
        <v>M</v>
      </c>
      <c r="AK471" s="13" t="str">
        <f>VLOOKUP(AH471,'Hess and Brezowsky'!$B$2:$G$31,4,FALSE)</f>
        <v>Trough over Wester Europe</v>
      </c>
      <c r="AL471" s="29">
        <v>0.23445601851851852</v>
      </c>
      <c r="AM471" s="29">
        <v>0.48946759259259259</v>
      </c>
      <c r="AN471" s="30">
        <v>0.74446759259259254</v>
      </c>
    </row>
    <row r="472" spans="1:40" ht="15.75" customHeight="1" x14ac:dyDescent="0.2">
      <c r="A472" s="27">
        <v>45192</v>
      </c>
      <c r="B472" s="13">
        <v>2023</v>
      </c>
      <c r="C472" s="13">
        <v>266</v>
      </c>
      <c r="D472" s="13">
        <f t="shared" si="20"/>
        <v>7</v>
      </c>
      <c r="E472" s="13"/>
      <c r="F472" s="13">
        <f t="shared" si="19"/>
        <v>5</v>
      </c>
      <c r="G472" s="14">
        <v>1</v>
      </c>
      <c r="H472" s="14">
        <v>1</v>
      </c>
      <c r="I472" s="14">
        <v>1</v>
      </c>
      <c r="J472" s="14">
        <v>1</v>
      </c>
      <c r="K472" s="14">
        <v>0</v>
      </c>
      <c r="L472" s="14">
        <v>1</v>
      </c>
      <c r="M472" s="15">
        <v>269.392</v>
      </c>
      <c r="N472" s="16" t="str">
        <f t="shared" si="21"/>
        <v>W</v>
      </c>
      <c r="O472" s="17">
        <v>5</v>
      </c>
      <c r="P472" s="16" t="s">
        <v>137</v>
      </c>
      <c r="Q472" s="18">
        <v>0</v>
      </c>
      <c r="R472" s="19">
        <v>13.86</v>
      </c>
      <c r="S472" s="19">
        <v>10.8</v>
      </c>
      <c r="T472" s="19">
        <v>17.899999999999999</v>
      </c>
      <c r="U472" s="20">
        <v>270.27</v>
      </c>
      <c r="V472" s="16" t="s">
        <v>16</v>
      </c>
      <c r="W472" s="21">
        <v>0</v>
      </c>
      <c r="X472" s="21">
        <v>0</v>
      </c>
      <c r="Y472" s="21">
        <v>0</v>
      </c>
      <c r="Z472" s="21">
        <v>0</v>
      </c>
      <c r="AA472" s="21">
        <v>0.04</v>
      </c>
      <c r="AB472" s="21">
        <v>0.12</v>
      </c>
      <c r="AC472" s="21">
        <v>0.83</v>
      </c>
      <c r="AD472" s="21">
        <v>0</v>
      </c>
      <c r="AE472" s="21">
        <v>5.7</v>
      </c>
      <c r="AF472" s="21">
        <v>5.54</v>
      </c>
      <c r="AG472" s="21">
        <v>12.6</v>
      </c>
      <c r="AH472" s="18" t="s">
        <v>23</v>
      </c>
      <c r="AI472" s="13" t="str">
        <f>VLOOKUP(AH472,'Hess and Brezowsky'!$B$2:$G$31,2,FALSE)</f>
        <v>Meridional</v>
      </c>
      <c r="AJ472" s="18" t="str">
        <f>VLOOKUP(AH472,'Hess and Brezowsky'!$B$2:$G$31,3,FALSE)</f>
        <v>M</v>
      </c>
      <c r="AK472" s="13" t="str">
        <f>VLOOKUP(AH472,'Hess and Brezowsky'!$B$2:$G$31,4,FALSE)</f>
        <v>Trough over Wester Europe</v>
      </c>
      <c r="AL472" s="29">
        <v>0.23543981481481482</v>
      </c>
      <c r="AM472" s="29">
        <v>0.48921296296296296</v>
      </c>
      <c r="AN472" s="30">
        <v>0.74297453703703709</v>
      </c>
    </row>
    <row r="473" spans="1:40" ht="15.75" customHeight="1" x14ac:dyDescent="0.2">
      <c r="A473" s="27">
        <v>45193</v>
      </c>
      <c r="B473" s="13">
        <v>2023</v>
      </c>
      <c r="C473" s="13">
        <v>267</v>
      </c>
      <c r="D473" s="13">
        <f t="shared" si="20"/>
        <v>1</v>
      </c>
      <c r="E473" s="13"/>
      <c r="F473" s="13">
        <f t="shared" si="19"/>
        <v>5</v>
      </c>
      <c r="G473" s="14">
        <v>1</v>
      </c>
      <c r="H473" s="14">
        <v>1</v>
      </c>
      <c r="I473" s="14">
        <v>1</v>
      </c>
      <c r="J473" s="14">
        <v>1</v>
      </c>
      <c r="K473" s="14">
        <v>0</v>
      </c>
      <c r="L473" s="14">
        <v>1</v>
      </c>
      <c r="M473" s="15">
        <v>164.62799999999999</v>
      </c>
      <c r="N473" s="16" t="str">
        <f t="shared" si="21"/>
        <v>S</v>
      </c>
      <c r="O473" s="17">
        <v>6.7</v>
      </c>
      <c r="P473" s="16" t="s">
        <v>139</v>
      </c>
      <c r="Q473" s="18">
        <v>0</v>
      </c>
      <c r="R473" s="19">
        <v>14.7</v>
      </c>
      <c r="S473" s="19">
        <v>8.6</v>
      </c>
      <c r="T473" s="19">
        <v>21.9</v>
      </c>
      <c r="U473" s="20">
        <v>165.16</v>
      </c>
      <c r="V473" s="16" t="s">
        <v>13</v>
      </c>
      <c r="W473" s="21">
        <v>0</v>
      </c>
      <c r="X473" s="21">
        <v>0</v>
      </c>
      <c r="Y473" s="21">
        <v>0</v>
      </c>
      <c r="Z473" s="21">
        <v>0.21</v>
      </c>
      <c r="AA473" s="21">
        <v>0.71</v>
      </c>
      <c r="AB473" s="21">
        <v>0.08</v>
      </c>
      <c r="AC473" s="21">
        <v>0</v>
      </c>
      <c r="AD473" s="21">
        <v>0</v>
      </c>
      <c r="AE473" s="21">
        <v>6.94</v>
      </c>
      <c r="AF473" s="21">
        <v>6.71</v>
      </c>
      <c r="AG473" s="21">
        <v>11.3</v>
      </c>
      <c r="AH473" s="18" t="s">
        <v>4</v>
      </c>
      <c r="AI473" s="13" t="str">
        <f>VLOOKUP(AH473,'Hess and Brezowsky'!$B$2:$G$31,2,FALSE)</f>
        <v>Mixed</v>
      </c>
      <c r="AJ473" s="18" t="str">
        <f>VLOOKUP(AH473,'Hess and Brezowsky'!$B$2:$G$31,3,FALSE)</f>
        <v>A</v>
      </c>
      <c r="AK473" s="13" t="str">
        <f>VLOOKUP(AH473,'Hess and Brezowsky'!$B$2:$G$31,4,FALSE)</f>
        <v>Zonal Ridge across Central Europe</v>
      </c>
      <c r="AL473" s="29">
        <v>0.2364236111111111</v>
      </c>
      <c r="AM473" s="29">
        <v>0.48895833333333333</v>
      </c>
      <c r="AN473" s="30">
        <v>0.74148148148148152</v>
      </c>
    </row>
    <row r="474" spans="1:40" ht="15.75" customHeight="1" x14ac:dyDescent="0.2">
      <c r="A474" s="27">
        <v>45194</v>
      </c>
      <c r="B474" s="13">
        <v>2023</v>
      </c>
      <c r="C474" s="13">
        <v>268</v>
      </c>
      <c r="D474" s="13">
        <f t="shared" si="20"/>
        <v>2</v>
      </c>
      <c r="E474" s="13"/>
      <c r="F474" s="13">
        <f t="shared" si="19"/>
        <v>5</v>
      </c>
      <c r="G474" s="14">
        <v>1</v>
      </c>
      <c r="H474" s="14">
        <v>1</v>
      </c>
      <c r="I474" s="14">
        <v>1</v>
      </c>
      <c r="J474" s="14">
        <v>1</v>
      </c>
      <c r="K474" s="14">
        <v>0</v>
      </c>
      <c r="L474" s="14">
        <v>1</v>
      </c>
      <c r="M474" s="15">
        <v>209.63300000000001</v>
      </c>
      <c r="N474" s="16" t="str">
        <f t="shared" si="21"/>
        <v>SW</v>
      </c>
      <c r="O474" s="17">
        <v>4.0999999999999996</v>
      </c>
      <c r="P474" s="16" t="s">
        <v>137</v>
      </c>
      <c r="Q474" s="18">
        <v>0</v>
      </c>
      <c r="R474" s="19">
        <v>17.03</v>
      </c>
      <c r="S474" s="19">
        <v>10</v>
      </c>
      <c r="T474" s="19">
        <v>23.9</v>
      </c>
      <c r="U474" s="20">
        <v>218.77</v>
      </c>
      <c r="V474" s="16" t="s">
        <v>5</v>
      </c>
      <c r="W474" s="21">
        <v>0</v>
      </c>
      <c r="X474" s="21">
        <v>0</v>
      </c>
      <c r="Y474" s="21">
        <v>0.08</v>
      </c>
      <c r="Z474" s="21">
        <v>0.12</v>
      </c>
      <c r="AA474" s="21">
        <v>0.12</v>
      </c>
      <c r="AB474" s="21">
        <v>0.25</v>
      </c>
      <c r="AC474" s="21">
        <v>0.17</v>
      </c>
      <c r="AD474" s="21">
        <v>0.25</v>
      </c>
      <c r="AE474" s="21">
        <v>3.33</v>
      </c>
      <c r="AF474" s="21">
        <v>1.69</v>
      </c>
      <c r="AG474" s="21">
        <v>7</v>
      </c>
      <c r="AH474" s="18" t="s">
        <v>4</v>
      </c>
      <c r="AI474" s="13" t="str">
        <f>VLOOKUP(AH474,'Hess and Brezowsky'!$B$2:$G$31,2,FALSE)</f>
        <v>Mixed</v>
      </c>
      <c r="AJ474" s="18" t="str">
        <f>VLOOKUP(AH474,'Hess and Brezowsky'!$B$2:$G$31,3,FALSE)</f>
        <v>A</v>
      </c>
      <c r="AK474" s="13" t="str">
        <f>VLOOKUP(AH474,'Hess and Brezowsky'!$B$2:$G$31,4,FALSE)</f>
        <v>Zonal Ridge across Central Europe</v>
      </c>
      <c r="AL474" s="29">
        <v>0.23741898148148149</v>
      </c>
      <c r="AM474" s="29">
        <v>0.4887037037037037</v>
      </c>
      <c r="AN474" s="30">
        <v>0.74</v>
      </c>
    </row>
    <row r="475" spans="1:40" ht="15.75" customHeight="1" x14ac:dyDescent="0.2">
      <c r="A475" s="27">
        <v>45195</v>
      </c>
      <c r="B475" s="13">
        <v>2023</v>
      </c>
      <c r="C475" s="13">
        <v>269</v>
      </c>
      <c r="D475" s="13">
        <f t="shared" si="20"/>
        <v>3</v>
      </c>
      <c r="E475" s="13"/>
      <c r="F475" s="13">
        <f t="shared" si="19"/>
        <v>5</v>
      </c>
      <c r="G475" s="14">
        <v>1</v>
      </c>
      <c r="H475" s="14">
        <v>1</v>
      </c>
      <c r="I475" s="14">
        <v>1</v>
      </c>
      <c r="J475" s="14">
        <v>1</v>
      </c>
      <c r="K475" s="14">
        <v>0</v>
      </c>
      <c r="L475" s="14">
        <v>1</v>
      </c>
      <c r="M475" s="15">
        <v>190.054</v>
      </c>
      <c r="N475" s="16" t="str">
        <f t="shared" si="21"/>
        <v>S</v>
      </c>
      <c r="O475" s="17">
        <v>5.6</v>
      </c>
      <c r="P475" s="16" t="s">
        <v>137</v>
      </c>
      <c r="Q475" s="18">
        <v>0</v>
      </c>
      <c r="R475" s="19">
        <v>19.11</v>
      </c>
      <c r="S475" s="19">
        <v>14.1</v>
      </c>
      <c r="T475" s="19">
        <v>26.2</v>
      </c>
      <c r="U475" s="20">
        <v>184.48</v>
      </c>
      <c r="V475" s="16" t="s">
        <v>13</v>
      </c>
      <c r="W475" s="21">
        <v>0</v>
      </c>
      <c r="X475" s="21">
        <v>0</v>
      </c>
      <c r="Y475" s="21">
        <v>0</v>
      </c>
      <c r="Z475" s="21">
        <v>0.21</v>
      </c>
      <c r="AA475" s="21">
        <v>0.54</v>
      </c>
      <c r="AB475" s="21">
        <v>0.12</v>
      </c>
      <c r="AC475" s="21">
        <v>0.12</v>
      </c>
      <c r="AD475" s="21">
        <v>0</v>
      </c>
      <c r="AE475" s="21">
        <v>5.33</v>
      </c>
      <c r="AF475" s="21">
        <v>4.04</v>
      </c>
      <c r="AG475" s="21">
        <v>8.9</v>
      </c>
      <c r="AH475" s="18" t="s">
        <v>4</v>
      </c>
      <c r="AI475" s="13" t="str">
        <f>VLOOKUP(AH475,'Hess and Brezowsky'!$B$2:$G$31,2,FALSE)</f>
        <v>Mixed</v>
      </c>
      <c r="AJ475" s="18" t="str">
        <f>VLOOKUP(AH475,'Hess and Brezowsky'!$B$2:$G$31,3,FALSE)</f>
        <v>A</v>
      </c>
      <c r="AK475" s="13" t="str">
        <f>VLOOKUP(AH475,'Hess and Brezowsky'!$B$2:$G$31,4,FALSE)</f>
        <v>Zonal Ridge across Central Europe</v>
      </c>
      <c r="AL475" s="29">
        <v>0.23840277777777777</v>
      </c>
      <c r="AM475" s="29">
        <v>0.48846064814814816</v>
      </c>
      <c r="AN475" s="30">
        <v>0.73850694444444442</v>
      </c>
    </row>
    <row r="476" spans="1:40" ht="15.75" customHeight="1" x14ac:dyDescent="0.2">
      <c r="A476" s="27">
        <v>45196</v>
      </c>
      <c r="B476" s="13">
        <v>2023</v>
      </c>
      <c r="C476" s="13">
        <v>270</v>
      </c>
      <c r="D476" s="13">
        <f t="shared" si="20"/>
        <v>4</v>
      </c>
      <c r="E476" s="13"/>
      <c r="F476" s="13">
        <f t="shared" si="19"/>
        <v>5</v>
      </c>
      <c r="G476" s="14">
        <v>1</v>
      </c>
      <c r="H476" s="14">
        <v>1</v>
      </c>
      <c r="I476" s="14">
        <v>1</v>
      </c>
      <c r="J476" s="14">
        <v>1</v>
      </c>
      <c r="K476" s="14">
        <v>0</v>
      </c>
      <c r="L476" s="14">
        <v>1</v>
      </c>
      <c r="M476" s="15">
        <v>196.19499999999999</v>
      </c>
      <c r="N476" s="16" t="str">
        <f t="shared" si="21"/>
        <v>S</v>
      </c>
      <c r="O476" s="17">
        <v>6.7</v>
      </c>
      <c r="P476" s="16" t="s">
        <v>137</v>
      </c>
      <c r="Q476" s="18">
        <v>0</v>
      </c>
      <c r="R476" s="19">
        <v>20.39</v>
      </c>
      <c r="S476" s="19">
        <v>13.8</v>
      </c>
      <c r="T476" s="19">
        <v>27.1</v>
      </c>
      <c r="U476" s="20">
        <v>193.17</v>
      </c>
      <c r="V476" s="16" t="s">
        <v>13</v>
      </c>
      <c r="W476" s="21">
        <v>0</v>
      </c>
      <c r="X476" s="21">
        <v>0</v>
      </c>
      <c r="Y476" s="21">
        <v>0</v>
      </c>
      <c r="Z476" s="21">
        <v>0.04</v>
      </c>
      <c r="AA476" s="21">
        <v>0.57999999999999996</v>
      </c>
      <c r="AB476" s="21">
        <v>0.12</v>
      </c>
      <c r="AC476" s="21">
        <v>0.25</v>
      </c>
      <c r="AD476" s="21">
        <v>0</v>
      </c>
      <c r="AE476" s="21">
        <v>6.98</v>
      </c>
      <c r="AF476" s="21">
        <v>5.67</v>
      </c>
      <c r="AG476" s="21">
        <v>12.7</v>
      </c>
      <c r="AH476" s="18" t="s">
        <v>4</v>
      </c>
      <c r="AI476" s="13" t="str">
        <f>VLOOKUP(AH476,'Hess and Brezowsky'!$B$2:$G$31,2,FALSE)</f>
        <v>Mixed</v>
      </c>
      <c r="AJ476" s="18" t="str">
        <f>VLOOKUP(AH476,'Hess and Brezowsky'!$B$2:$G$31,3,FALSE)</f>
        <v>A</v>
      </c>
      <c r="AK476" s="13" t="str">
        <f>VLOOKUP(AH476,'Hess and Brezowsky'!$B$2:$G$31,4,FALSE)</f>
        <v>Zonal Ridge across Central Europe</v>
      </c>
      <c r="AL476" s="29">
        <v>0.23939814814814814</v>
      </c>
      <c r="AM476" s="29">
        <v>0.48820601851851853</v>
      </c>
      <c r="AN476" s="30">
        <v>0.73702546296296301</v>
      </c>
    </row>
    <row r="477" spans="1:40" ht="15.75" customHeight="1" x14ac:dyDescent="0.2">
      <c r="A477" s="27">
        <v>45197</v>
      </c>
      <c r="B477" s="13">
        <v>2023</v>
      </c>
      <c r="C477" s="13">
        <v>271</v>
      </c>
      <c r="D477" s="13">
        <f t="shared" si="20"/>
        <v>5</v>
      </c>
      <c r="E477" s="13"/>
      <c r="F477" s="13">
        <f t="shared" si="19"/>
        <v>5</v>
      </c>
      <c r="G477" s="14">
        <v>1</v>
      </c>
      <c r="H477" s="14">
        <v>1</v>
      </c>
      <c r="I477" s="14">
        <v>1</v>
      </c>
      <c r="J477" s="14">
        <v>1</v>
      </c>
      <c r="K477" s="14">
        <v>0</v>
      </c>
      <c r="L477" s="14">
        <v>1</v>
      </c>
      <c r="M477" s="15">
        <v>218.43799999999999</v>
      </c>
      <c r="N477" s="16" t="str">
        <f t="shared" si="21"/>
        <v>SW</v>
      </c>
      <c r="O477" s="17">
        <v>5.9</v>
      </c>
      <c r="P477" s="16" t="s">
        <v>137</v>
      </c>
      <c r="Q477" s="18">
        <v>0</v>
      </c>
      <c r="R477" s="19">
        <v>19.670000000000002</v>
      </c>
      <c r="S477" s="19">
        <v>16.8</v>
      </c>
      <c r="T477" s="19">
        <v>23</v>
      </c>
      <c r="U477" s="20">
        <v>218.07</v>
      </c>
      <c r="V477" s="16" t="s">
        <v>5</v>
      </c>
      <c r="W477" s="21">
        <v>0</v>
      </c>
      <c r="X477" s="21">
        <v>0</v>
      </c>
      <c r="Y477" s="21">
        <v>0</v>
      </c>
      <c r="Z477" s="21">
        <v>0</v>
      </c>
      <c r="AA477" s="21">
        <v>0.38</v>
      </c>
      <c r="AB477" s="21">
        <v>0.25</v>
      </c>
      <c r="AC477" s="21">
        <v>0.38</v>
      </c>
      <c r="AD477" s="21">
        <v>0</v>
      </c>
      <c r="AE477" s="21">
        <v>5.81</v>
      </c>
      <c r="AF477" s="21">
        <v>4.6399999999999997</v>
      </c>
      <c r="AG477" s="21">
        <v>13.1</v>
      </c>
      <c r="AH477" s="18" t="s">
        <v>32</v>
      </c>
      <c r="AI477" s="13" t="str">
        <f>VLOOKUP(AH477,'Hess and Brezowsky'!$B$2:$G$31,2,FALSE)</f>
        <v>Mixed</v>
      </c>
      <c r="AJ477" s="18" t="str">
        <f>VLOOKUP(AH477,'Hess and Brezowsky'!$B$2:$G$31,3,FALSE)</f>
        <v>A</v>
      </c>
      <c r="AK477" s="13" t="str">
        <f>VLOOKUP(AH477,'Hess and Brezowsky'!$B$2:$G$31,4,FALSE)</f>
        <v>Anticyclonic South-Westerly</v>
      </c>
      <c r="AL477" s="29">
        <v>0.24039351851851851</v>
      </c>
      <c r="AM477" s="29">
        <v>0.48796296296296299</v>
      </c>
      <c r="AN477" s="30">
        <v>0.73554398148148148</v>
      </c>
    </row>
    <row r="478" spans="1:40" ht="15.75" customHeight="1" x14ac:dyDescent="0.2">
      <c r="A478" s="27">
        <v>45198</v>
      </c>
      <c r="B478" s="13">
        <v>2023</v>
      </c>
      <c r="C478" s="13">
        <v>272</v>
      </c>
      <c r="D478" s="13">
        <f t="shared" si="20"/>
        <v>6</v>
      </c>
      <c r="E478" s="13"/>
      <c r="F478" s="13">
        <f t="shared" si="19"/>
        <v>5</v>
      </c>
      <c r="G478" s="14">
        <v>1</v>
      </c>
      <c r="H478" s="14">
        <v>1</v>
      </c>
      <c r="I478" s="14">
        <v>1</v>
      </c>
      <c r="J478" s="14">
        <v>1</v>
      </c>
      <c r="K478" s="14">
        <v>0</v>
      </c>
      <c r="L478" s="14">
        <v>1</v>
      </c>
      <c r="M478" s="15">
        <v>260.74900000000002</v>
      </c>
      <c r="N478" s="16" t="str">
        <f t="shared" si="21"/>
        <v>W</v>
      </c>
      <c r="O478" s="17">
        <v>8.1999999999999993</v>
      </c>
      <c r="P478" s="16" t="s">
        <v>137</v>
      </c>
      <c r="Q478" s="18">
        <v>0</v>
      </c>
      <c r="R478" s="19">
        <v>18.77</v>
      </c>
      <c r="S478" s="19">
        <v>13.7</v>
      </c>
      <c r="T478" s="19">
        <v>21.6</v>
      </c>
      <c r="U478" s="20">
        <v>260.36</v>
      </c>
      <c r="V478" s="16" t="s">
        <v>16</v>
      </c>
      <c r="W478" s="21">
        <v>0.08</v>
      </c>
      <c r="X478" s="21">
        <v>0.04</v>
      </c>
      <c r="Y478" s="21">
        <v>0</v>
      </c>
      <c r="Z478" s="21">
        <v>0</v>
      </c>
      <c r="AA478" s="21">
        <v>0.08</v>
      </c>
      <c r="AB478" s="21">
        <v>0.25</v>
      </c>
      <c r="AC478" s="21">
        <v>0.33</v>
      </c>
      <c r="AD478" s="21">
        <v>0.21</v>
      </c>
      <c r="AE478" s="21">
        <v>8.1999999999999993</v>
      </c>
      <c r="AF478" s="21">
        <v>6.11</v>
      </c>
      <c r="AG478" s="21">
        <v>14.2</v>
      </c>
      <c r="AH478" s="18" t="s">
        <v>32</v>
      </c>
      <c r="AI478" s="13" t="str">
        <f>VLOOKUP(AH478,'Hess and Brezowsky'!$B$2:$G$31,2,FALSE)</f>
        <v>Mixed</v>
      </c>
      <c r="AJ478" s="18" t="str">
        <f>VLOOKUP(AH478,'Hess and Brezowsky'!$B$2:$G$31,3,FALSE)</f>
        <v>A</v>
      </c>
      <c r="AK478" s="13" t="str">
        <f>VLOOKUP(AH478,'Hess and Brezowsky'!$B$2:$G$31,4,FALSE)</f>
        <v>Anticyclonic South-Westerly</v>
      </c>
      <c r="AL478" s="29">
        <v>0.24138888888888888</v>
      </c>
      <c r="AM478" s="29">
        <v>0.48771990740740739</v>
      </c>
      <c r="AN478" s="30">
        <v>0.73406249999999995</v>
      </c>
    </row>
    <row r="479" spans="1:40" ht="15.75" customHeight="1" x14ac:dyDescent="0.2">
      <c r="A479" s="27">
        <v>45199</v>
      </c>
      <c r="B479" s="13">
        <v>2023</v>
      </c>
      <c r="C479" s="13">
        <v>273</v>
      </c>
      <c r="D479" s="13">
        <f t="shared" si="20"/>
        <v>7</v>
      </c>
      <c r="E479" s="13"/>
      <c r="F479" s="13">
        <f t="shared" si="19"/>
        <v>5</v>
      </c>
      <c r="G479" s="14">
        <v>1</v>
      </c>
      <c r="H479" s="14">
        <v>1</v>
      </c>
      <c r="I479" s="14">
        <v>1</v>
      </c>
      <c r="J479" s="14">
        <v>1</v>
      </c>
      <c r="K479" s="14">
        <v>0</v>
      </c>
      <c r="L479" s="14">
        <v>1</v>
      </c>
      <c r="M479" s="15">
        <v>130.125</v>
      </c>
      <c r="N479" s="16" t="str">
        <f t="shared" si="21"/>
        <v>SE</v>
      </c>
      <c r="O479" s="17">
        <v>3.4</v>
      </c>
      <c r="P479" s="16" t="s">
        <v>137</v>
      </c>
      <c r="Q479" s="18">
        <v>0</v>
      </c>
      <c r="R479" s="19">
        <v>16.82</v>
      </c>
      <c r="S479" s="19">
        <v>12.1</v>
      </c>
      <c r="T479" s="19">
        <v>22.3</v>
      </c>
      <c r="U479" s="20">
        <v>132.44999999999999</v>
      </c>
      <c r="V479" s="16" t="s">
        <v>11</v>
      </c>
      <c r="W479" s="21">
        <v>0</v>
      </c>
      <c r="X479" s="21">
        <v>0.17</v>
      </c>
      <c r="Y479" s="21">
        <v>0.28999999999999998</v>
      </c>
      <c r="Z479" s="21">
        <v>0.33</v>
      </c>
      <c r="AA479" s="21">
        <v>0.21</v>
      </c>
      <c r="AB479" s="21">
        <v>0</v>
      </c>
      <c r="AC479" s="21">
        <v>0</v>
      </c>
      <c r="AD479" s="21">
        <v>0</v>
      </c>
      <c r="AE479" s="21">
        <v>3.14</v>
      </c>
      <c r="AF479" s="21">
        <v>2.46</v>
      </c>
      <c r="AG479" s="21">
        <v>9.1</v>
      </c>
      <c r="AH479" s="18" t="s">
        <v>32</v>
      </c>
      <c r="AI479" s="13" t="str">
        <f>VLOOKUP(AH479,'Hess and Brezowsky'!$B$2:$G$31,2,FALSE)</f>
        <v>Mixed</v>
      </c>
      <c r="AJ479" s="18" t="str">
        <f>VLOOKUP(AH479,'Hess and Brezowsky'!$B$2:$G$31,3,FALSE)</f>
        <v>A</v>
      </c>
      <c r="AK479" s="13" t="str">
        <f>VLOOKUP(AH479,'Hess and Brezowsky'!$B$2:$G$31,4,FALSE)</f>
        <v>Anticyclonic South-Westerly</v>
      </c>
      <c r="AL479" s="29">
        <v>0.24238425925925927</v>
      </c>
      <c r="AM479" s="29">
        <v>0.48748842592592595</v>
      </c>
      <c r="AN479" s="30">
        <v>0.73258101851851853</v>
      </c>
    </row>
    <row r="480" spans="1:40" ht="15.75" customHeight="1" x14ac:dyDescent="0.2">
      <c r="A480" s="27">
        <v>45200</v>
      </c>
      <c r="B480" s="13">
        <v>2023</v>
      </c>
      <c r="C480" s="13">
        <v>274</v>
      </c>
      <c r="D480" s="13">
        <f t="shared" si="20"/>
        <v>1</v>
      </c>
      <c r="E480" s="13"/>
      <c r="F480" s="13">
        <f t="shared" si="19"/>
        <v>5</v>
      </c>
      <c r="G480" s="14">
        <v>1</v>
      </c>
      <c r="H480" s="14">
        <v>1</v>
      </c>
      <c r="I480" s="14">
        <v>1</v>
      </c>
      <c r="J480" s="14">
        <v>1</v>
      </c>
      <c r="K480" s="14">
        <v>0</v>
      </c>
      <c r="L480" s="14">
        <v>1</v>
      </c>
      <c r="M480" s="15">
        <v>183.804</v>
      </c>
      <c r="N480" s="16" t="str">
        <f t="shared" si="21"/>
        <v>S</v>
      </c>
      <c r="O480" s="17">
        <v>5.3</v>
      </c>
      <c r="P480" s="16" t="s">
        <v>138</v>
      </c>
      <c r="Q480" s="18">
        <v>0.2</v>
      </c>
      <c r="R480" s="19">
        <v>19.25</v>
      </c>
      <c r="S480" s="19">
        <v>12.8</v>
      </c>
      <c r="T480" s="19">
        <v>27.4</v>
      </c>
      <c r="U480" s="20">
        <v>182.72</v>
      </c>
      <c r="V480" s="16" t="s">
        <v>13</v>
      </c>
      <c r="W480" s="21">
        <v>0</v>
      </c>
      <c r="X480" s="21">
        <v>0</v>
      </c>
      <c r="Y480" s="21">
        <v>0</v>
      </c>
      <c r="Z480" s="21">
        <v>0</v>
      </c>
      <c r="AA480" s="21">
        <v>0.92</v>
      </c>
      <c r="AB480" s="21">
        <v>0.08</v>
      </c>
      <c r="AC480" s="21">
        <v>0</v>
      </c>
      <c r="AD480" s="21">
        <v>0</v>
      </c>
      <c r="AE480" s="21">
        <v>4.6100000000000003</v>
      </c>
      <c r="AF480" s="21">
        <v>4.49</v>
      </c>
      <c r="AG480" s="21">
        <v>8.6999999999999993</v>
      </c>
      <c r="AH480" s="18" t="s">
        <v>32</v>
      </c>
      <c r="AI480" s="13" t="str">
        <f>VLOOKUP(AH480,'Hess and Brezowsky'!$B$2:$G$31,2,FALSE)</f>
        <v>Mixed</v>
      </c>
      <c r="AJ480" s="18" t="str">
        <f>VLOOKUP(AH480,'Hess and Brezowsky'!$B$2:$G$31,3,FALSE)</f>
        <v>A</v>
      </c>
      <c r="AK480" s="13" t="str">
        <f>VLOOKUP(AH480,'Hess and Brezowsky'!$B$2:$G$31,4,FALSE)</f>
        <v>Anticyclonic South-Westerly</v>
      </c>
      <c r="AL480" s="29">
        <v>0.24339120370370371</v>
      </c>
      <c r="AM480" s="29">
        <v>0.48724537037037036</v>
      </c>
      <c r="AN480" s="30">
        <v>0.73111111111111116</v>
      </c>
    </row>
    <row r="481" spans="1:40" ht="15.75" customHeight="1" x14ac:dyDescent="0.2">
      <c r="A481" s="27">
        <v>45201</v>
      </c>
      <c r="B481" s="13">
        <v>2023</v>
      </c>
      <c r="C481" s="13">
        <v>275</v>
      </c>
      <c r="D481" s="13">
        <f t="shared" si="20"/>
        <v>2</v>
      </c>
      <c r="E481" s="13"/>
      <c r="F481" s="13">
        <f t="shared" si="19"/>
        <v>5</v>
      </c>
      <c r="G481" s="14">
        <v>1</v>
      </c>
      <c r="H481" s="14">
        <v>1</v>
      </c>
      <c r="I481" s="14">
        <v>1</v>
      </c>
      <c r="J481" s="14">
        <v>1</v>
      </c>
      <c r="K481" s="14">
        <v>0</v>
      </c>
      <c r="L481" s="14">
        <v>1</v>
      </c>
      <c r="M481" s="15">
        <v>197.37</v>
      </c>
      <c r="N481" s="16" t="str">
        <f t="shared" si="21"/>
        <v>S</v>
      </c>
      <c r="O481" s="17">
        <v>7.3</v>
      </c>
      <c r="P481" s="16" t="s">
        <v>138</v>
      </c>
      <c r="Q481" s="18">
        <v>0</v>
      </c>
      <c r="R481" s="19">
        <v>20.94</v>
      </c>
      <c r="S481" s="19">
        <v>14.5</v>
      </c>
      <c r="T481" s="19">
        <v>28.6</v>
      </c>
      <c r="U481" s="20">
        <v>190.82</v>
      </c>
      <c r="V481" s="16" t="s">
        <v>13</v>
      </c>
      <c r="W481" s="21">
        <v>0</v>
      </c>
      <c r="X481" s="21">
        <v>0</v>
      </c>
      <c r="Y481" s="21">
        <v>0</v>
      </c>
      <c r="Z481" s="21">
        <v>0</v>
      </c>
      <c r="AA481" s="21">
        <v>0.67</v>
      </c>
      <c r="AB481" s="21">
        <v>0.33</v>
      </c>
      <c r="AC481" s="21">
        <v>0</v>
      </c>
      <c r="AD481" s="21">
        <v>0</v>
      </c>
      <c r="AE481" s="21">
        <v>6.76</v>
      </c>
      <c r="AF481" s="21">
        <v>6.21</v>
      </c>
      <c r="AG481" s="21">
        <v>15.6</v>
      </c>
      <c r="AH481" s="18" t="s">
        <v>32</v>
      </c>
      <c r="AI481" s="13" t="str">
        <f>VLOOKUP(AH481,'Hess and Brezowsky'!$B$2:$G$31,2,FALSE)</f>
        <v>Mixed</v>
      </c>
      <c r="AJ481" s="18" t="str">
        <f>VLOOKUP(AH481,'Hess and Brezowsky'!$B$2:$G$31,3,FALSE)</f>
        <v>A</v>
      </c>
      <c r="AK481" s="13" t="str">
        <f>VLOOKUP(AH481,'Hess and Brezowsky'!$B$2:$G$31,4,FALSE)</f>
        <v>Anticyclonic South-Westerly</v>
      </c>
      <c r="AL481" s="29">
        <v>0.24438657407407408</v>
      </c>
      <c r="AM481" s="29">
        <v>0.48701388888888891</v>
      </c>
      <c r="AN481" s="30">
        <v>0.72964120370370367</v>
      </c>
    </row>
    <row r="482" spans="1:40" ht="15.75" customHeight="1" x14ac:dyDescent="0.2">
      <c r="A482" s="27">
        <v>45202</v>
      </c>
      <c r="B482" s="13">
        <v>2023</v>
      </c>
      <c r="C482" s="13">
        <v>276</v>
      </c>
      <c r="D482" s="13">
        <f t="shared" si="20"/>
        <v>3</v>
      </c>
      <c r="E482" s="13"/>
      <c r="F482" s="13">
        <f t="shared" si="19"/>
        <v>5</v>
      </c>
      <c r="G482" s="14">
        <v>1</v>
      </c>
      <c r="H482" s="14">
        <v>1</v>
      </c>
      <c r="I482" s="14">
        <v>1</v>
      </c>
      <c r="J482" s="14">
        <v>1</v>
      </c>
      <c r="K482" s="14">
        <v>0</v>
      </c>
      <c r="L482" s="14">
        <v>1</v>
      </c>
      <c r="M482" s="15">
        <v>279.50099999999998</v>
      </c>
      <c r="N482" s="16" t="str">
        <f t="shared" si="21"/>
        <v>W</v>
      </c>
      <c r="O482" s="17">
        <v>8.4</v>
      </c>
      <c r="P482" s="16" t="s">
        <v>137</v>
      </c>
      <c r="Q482" s="18">
        <v>1</v>
      </c>
      <c r="R482" s="19">
        <v>18.36</v>
      </c>
      <c r="S482" s="19">
        <v>13.9</v>
      </c>
      <c r="T482" s="19">
        <v>22.3</v>
      </c>
      <c r="U482" s="20">
        <v>275.23</v>
      </c>
      <c r="V482" s="16" t="s">
        <v>16</v>
      </c>
      <c r="W482" s="21">
        <v>0</v>
      </c>
      <c r="X482" s="21">
        <v>0</v>
      </c>
      <c r="Y482" s="21">
        <v>0</v>
      </c>
      <c r="Z482" s="21">
        <v>0</v>
      </c>
      <c r="AA482" s="21">
        <v>0</v>
      </c>
      <c r="AB482" s="21">
        <v>0.17</v>
      </c>
      <c r="AC482" s="21">
        <v>0.62</v>
      </c>
      <c r="AD482" s="21">
        <v>0.21</v>
      </c>
      <c r="AE482" s="21">
        <v>9.65</v>
      </c>
      <c r="AF482" s="21">
        <v>9.01</v>
      </c>
      <c r="AG482" s="21">
        <v>14.8</v>
      </c>
      <c r="AH482" s="18" t="s">
        <v>32</v>
      </c>
      <c r="AI482" s="13" t="str">
        <f>VLOOKUP(AH482,'Hess and Brezowsky'!$B$2:$G$31,2,FALSE)</f>
        <v>Mixed</v>
      </c>
      <c r="AJ482" s="18" t="str">
        <f>VLOOKUP(AH482,'Hess and Brezowsky'!$B$2:$G$31,3,FALSE)</f>
        <v>A</v>
      </c>
      <c r="AK482" s="13" t="str">
        <f>VLOOKUP(AH482,'Hess and Brezowsky'!$B$2:$G$31,4,FALSE)</f>
        <v>Anticyclonic South-Westerly</v>
      </c>
      <c r="AL482" s="29">
        <v>0.24540509259259261</v>
      </c>
      <c r="AM482" s="29">
        <v>0.48679398148148151</v>
      </c>
      <c r="AN482" s="30">
        <v>0.72818287037037033</v>
      </c>
    </row>
    <row r="483" spans="1:40" ht="15.75" customHeight="1" x14ac:dyDescent="0.2">
      <c r="A483" s="27">
        <v>45203</v>
      </c>
      <c r="B483" s="13">
        <v>2023</v>
      </c>
      <c r="C483" s="13">
        <v>277</v>
      </c>
      <c r="D483" s="13">
        <f t="shared" si="20"/>
        <v>4</v>
      </c>
      <c r="E483" s="13"/>
      <c r="F483" s="13">
        <f t="shared" si="19"/>
        <v>5</v>
      </c>
      <c r="G483" s="14">
        <v>1</v>
      </c>
      <c r="H483" s="14">
        <v>1</v>
      </c>
      <c r="I483" s="14">
        <v>1</v>
      </c>
      <c r="J483" s="14">
        <v>1</v>
      </c>
      <c r="K483" s="14">
        <v>0</v>
      </c>
      <c r="L483" s="14">
        <v>1</v>
      </c>
      <c r="M483" s="15">
        <v>288.51</v>
      </c>
      <c r="N483" s="16" t="str">
        <f t="shared" si="21"/>
        <v>W</v>
      </c>
      <c r="O483" s="17">
        <v>4.0999999999999996</v>
      </c>
      <c r="P483" s="16" t="s">
        <v>137</v>
      </c>
      <c r="Q483" s="18">
        <v>0</v>
      </c>
      <c r="R483" s="19">
        <v>14.57</v>
      </c>
      <c r="S483" s="19">
        <v>10.6</v>
      </c>
      <c r="T483" s="19">
        <v>18.2</v>
      </c>
      <c r="U483" s="20">
        <v>283.02999999999997</v>
      </c>
      <c r="V483" s="16" t="s">
        <v>16</v>
      </c>
      <c r="W483" s="21">
        <v>0</v>
      </c>
      <c r="X483" s="21">
        <v>0</v>
      </c>
      <c r="Y483" s="21">
        <v>0</v>
      </c>
      <c r="Z483" s="21">
        <v>0</v>
      </c>
      <c r="AA483" s="21">
        <v>0</v>
      </c>
      <c r="AB483" s="21">
        <v>0.17</v>
      </c>
      <c r="AC483" s="21">
        <v>0.54</v>
      </c>
      <c r="AD483" s="21">
        <v>0.28999999999999998</v>
      </c>
      <c r="AE483" s="21">
        <v>3.49</v>
      </c>
      <c r="AF483" s="21">
        <v>3.31</v>
      </c>
      <c r="AG483" s="21">
        <v>10.9</v>
      </c>
      <c r="AH483" s="18" t="s">
        <v>32</v>
      </c>
      <c r="AI483" s="13" t="str">
        <f>VLOOKUP(AH483,'Hess and Brezowsky'!$B$2:$G$31,2,FALSE)</f>
        <v>Mixed</v>
      </c>
      <c r="AJ483" s="18" t="str">
        <f>VLOOKUP(AH483,'Hess and Brezowsky'!$B$2:$G$31,3,FALSE)</f>
        <v>A</v>
      </c>
      <c r="AK483" s="13" t="str">
        <f>VLOOKUP(AH483,'Hess and Brezowsky'!$B$2:$G$31,4,FALSE)</f>
        <v>Anticyclonic South-Westerly</v>
      </c>
      <c r="AL483" s="29">
        <v>0.24641203703703704</v>
      </c>
      <c r="AM483" s="29">
        <v>0.48656250000000001</v>
      </c>
      <c r="AN483" s="30">
        <v>0.72672453703703699</v>
      </c>
    </row>
    <row r="484" spans="1:40" ht="15.75" customHeight="1" x14ac:dyDescent="0.2">
      <c r="A484" s="27">
        <v>45204</v>
      </c>
      <c r="B484" s="13">
        <v>2023</v>
      </c>
      <c r="C484" s="13">
        <v>278</v>
      </c>
      <c r="D484" s="13">
        <f t="shared" si="20"/>
        <v>5</v>
      </c>
      <c r="E484" s="13"/>
      <c r="F484" s="13">
        <f t="shared" si="19"/>
        <v>5</v>
      </c>
      <c r="G484" s="14">
        <v>1</v>
      </c>
      <c r="H484" s="14">
        <v>1</v>
      </c>
      <c r="I484" s="14">
        <v>1</v>
      </c>
      <c r="J484" s="14">
        <v>1</v>
      </c>
      <c r="K484" s="14">
        <v>0</v>
      </c>
      <c r="L484" s="14">
        <v>1</v>
      </c>
      <c r="M484" s="15">
        <v>224.828</v>
      </c>
      <c r="N484" s="16" t="str">
        <f t="shared" si="21"/>
        <v>SW</v>
      </c>
      <c r="O484" s="17">
        <v>2.8</v>
      </c>
      <c r="P484" s="16" t="s">
        <v>137</v>
      </c>
      <c r="Q484" s="18">
        <v>0</v>
      </c>
      <c r="R484" s="19">
        <v>14.83</v>
      </c>
      <c r="S484" s="19">
        <v>11.5</v>
      </c>
      <c r="T484" s="19">
        <v>20.100000000000001</v>
      </c>
      <c r="U484" s="20">
        <v>238.9</v>
      </c>
      <c r="V484" s="16" t="s">
        <v>5</v>
      </c>
      <c r="W484" s="21">
        <v>0</v>
      </c>
      <c r="X484" s="21">
        <v>0</v>
      </c>
      <c r="Y484" s="21">
        <v>0.04</v>
      </c>
      <c r="Z484" s="21">
        <v>0</v>
      </c>
      <c r="AA484" s="21">
        <v>0.28999999999999998</v>
      </c>
      <c r="AB484" s="21">
        <v>0.12</v>
      </c>
      <c r="AC484" s="21">
        <v>0.25</v>
      </c>
      <c r="AD484" s="21">
        <v>0.28999999999999998</v>
      </c>
      <c r="AE484" s="21">
        <v>2.0699999999999998</v>
      </c>
      <c r="AF484" s="21">
        <v>1.18</v>
      </c>
      <c r="AG484" s="21">
        <v>4.7</v>
      </c>
      <c r="AH484" s="18" t="s">
        <v>44</v>
      </c>
      <c r="AI484" s="13" t="str">
        <f>VLOOKUP(AH484,'Hess and Brezowsky'!$B$2:$G$31,2,FALSE)</f>
        <v>Mixed</v>
      </c>
      <c r="AJ484" s="18" t="str">
        <f>VLOOKUP(AH484,'Hess and Brezowsky'!$B$2:$G$31,3,FALSE)</f>
        <v>A</v>
      </c>
      <c r="AK484" s="13" t="str">
        <f>VLOOKUP(AH484,'Hess and Brezowsky'!$B$2:$G$31,4,FALSE)</f>
        <v>Anticyclonic North-Westerly</v>
      </c>
      <c r="AL484" s="29">
        <v>0.24743055555555554</v>
      </c>
      <c r="AM484" s="29">
        <v>0.4863425925925926</v>
      </c>
      <c r="AN484" s="30">
        <v>0.72526620370370365</v>
      </c>
    </row>
    <row r="485" spans="1:40" ht="15.75" customHeight="1" x14ac:dyDescent="0.2">
      <c r="A485" s="27">
        <v>45205</v>
      </c>
      <c r="B485" s="13">
        <v>2023</v>
      </c>
      <c r="C485" s="13">
        <v>279</v>
      </c>
      <c r="D485" s="13">
        <f t="shared" si="20"/>
        <v>6</v>
      </c>
      <c r="E485" s="13"/>
      <c r="F485" s="13">
        <f t="shared" si="19"/>
        <v>5</v>
      </c>
      <c r="G485" s="14">
        <v>1</v>
      </c>
      <c r="H485" s="14">
        <v>1</v>
      </c>
      <c r="I485" s="14">
        <v>1</v>
      </c>
      <c r="J485" s="14">
        <v>1</v>
      </c>
      <c r="K485" s="14">
        <v>0</v>
      </c>
      <c r="L485" s="14">
        <v>1</v>
      </c>
      <c r="M485" s="15">
        <v>236.03100000000001</v>
      </c>
      <c r="N485" s="16" t="str">
        <f t="shared" si="21"/>
        <v>SW</v>
      </c>
      <c r="O485" s="17">
        <v>2.9</v>
      </c>
      <c r="P485" s="16" t="s">
        <v>138</v>
      </c>
      <c r="Q485" s="18">
        <v>0</v>
      </c>
      <c r="R485" s="19">
        <v>14.99</v>
      </c>
      <c r="S485" s="19">
        <v>9.5</v>
      </c>
      <c r="T485" s="19">
        <v>22</v>
      </c>
      <c r="U485" s="20">
        <v>245.32</v>
      </c>
      <c r="V485" s="16" t="s">
        <v>5</v>
      </c>
      <c r="W485" s="21">
        <v>0</v>
      </c>
      <c r="X485" s="21">
        <v>0</v>
      </c>
      <c r="Y485" s="21">
        <v>0</v>
      </c>
      <c r="Z485" s="21">
        <v>0</v>
      </c>
      <c r="AA485" s="21">
        <v>0.04</v>
      </c>
      <c r="AB485" s="21">
        <v>0.67</v>
      </c>
      <c r="AC485" s="21">
        <v>0.28999999999999998</v>
      </c>
      <c r="AD485" s="21">
        <v>0</v>
      </c>
      <c r="AE485" s="21">
        <v>2.11</v>
      </c>
      <c r="AF485" s="21">
        <v>1.91</v>
      </c>
      <c r="AG485" s="21">
        <v>5.7</v>
      </c>
      <c r="AH485" s="18" t="s">
        <v>44</v>
      </c>
      <c r="AI485" s="13" t="str">
        <f>VLOOKUP(AH485,'Hess and Brezowsky'!$B$2:$G$31,2,FALSE)</f>
        <v>Mixed</v>
      </c>
      <c r="AJ485" s="18" t="str">
        <f>VLOOKUP(AH485,'Hess and Brezowsky'!$B$2:$G$31,3,FALSE)</f>
        <v>A</v>
      </c>
      <c r="AK485" s="13" t="str">
        <f>VLOOKUP(AH485,'Hess and Brezowsky'!$B$2:$G$31,4,FALSE)</f>
        <v>Anticyclonic North-Westerly</v>
      </c>
      <c r="AL485" s="29">
        <v>0.24844907407407407</v>
      </c>
      <c r="AM485" s="29">
        <v>0.48613425925925924</v>
      </c>
      <c r="AN485" s="30">
        <v>0.72381944444444446</v>
      </c>
    </row>
    <row r="486" spans="1:40" ht="15.75" customHeight="1" x14ac:dyDescent="0.2">
      <c r="A486" s="27">
        <v>45206</v>
      </c>
      <c r="B486" s="13">
        <v>2023</v>
      </c>
      <c r="C486" s="13">
        <v>280</v>
      </c>
      <c r="D486" s="13">
        <f t="shared" si="20"/>
        <v>7</v>
      </c>
      <c r="E486" s="13"/>
      <c r="F486" s="13">
        <f t="shared" si="19"/>
        <v>5</v>
      </c>
      <c r="G486" s="14">
        <v>1</v>
      </c>
      <c r="H486" s="14">
        <v>1</v>
      </c>
      <c r="I486" s="14">
        <v>1</v>
      </c>
      <c r="J486" s="14">
        <v>1</v>
      </c>
      <c r="K486" s="14">
        <v>0</v>
      </c>
      <c r="L486" s="14">
        <v>1</v>
      </c>
      <c r="M486" s="15">
        <v>257.483</v>
      </c>
      <c r="N486" s="16" t="str">
        <f t="shared" si="21"/>
        <v>W</v>
      </c>
      <c r="O486" s="17">
        <v>4</v>
      </c>
      <c r="P486" s="16" t="s">
        <v>139</v>
      </c>
      <c r="Q486" s="18">
        <v>0</v>
      </c>
      <c r="R486" s="19">
        <v>17.239999999999998</v>
      </c>
      <c r="S486" s="19">
        <v>10.8</v>
      </c>
      <c r="T486" s="19">
        <v>24</v>
      </c>
      <c r="U486" s="20">
        <v>261.55</v>
      </c>
      <c r="V486" s="16" t="s">
        <v>16</v>
      </c>
      <c r="W486" s="21">
        <v>0</v>
      </c>
      <c r="X486" s="21">
        <v>0</v>
      </c>
      <c r="Y486" s="21">
        <v>0</v>
      </c>
      <c r="Z486" s="21">
        <v>0</v>
      </c>
      <c r="AA486" s="21">
        <v>0</v>
      </c>
      <c r="AB486" s="21">
        <v>0.54</v>
      </c>
      <c r="AC486" s="21">
        <v>0.46</v>
      </c>
      <c r="AD486" s="21">
        <v>0</v>
      </c>
      <c r="AE486" s="21">
        <v>3.65</v>
      </c>
      <c r="AF486" s="21">
        <v>3.39</v>
      </c>
      <c r="AG486" s="21">
        <v>6.9</v>
      </c>
      <c r="AH486" s="18" t="s">
        <v>44</v>
      </c>
      <c r="AI486" s="13" t="str">
        <f>VLOOKUP(AH486,'Hess and Brezowsky'!$B$2:$G$31,2,FALSE)</f>
        <v>Mixed</v>
      </c>
      <c r="AJ486" s="18" t="str">
        <f>VLOOKUP(AH486,'Hess and Brezowsky'!$B$2:$G$31,3,FALSE)</f>
        <v>A</v>
      </c>
      <c r="AK486" s="13" t="str">
        <f>VLOOKUP(AH486,'Hess and Brezowsky'!$B$2:$G$31,4,FALSE)</f>
        <v>Anticyclonic North-Westerly</v>
      </c>
      <c r="AL486" s="29">
        <v>0.2494675925925926</v>
      </c>
      <c r="AM486" s="29">
        <v>0.48592592592592593</v>
      </c>
      <c r="AN486" s="30">
        <v>0.72237268518518516</v>
      </c>
    </row>
    <row r="487" spans="1:40" ht="15.75" customHeight="1" x14ac:dyDescent="0.2">
      <c r="A487" s="27">
        <v>45207</v>
      </c>
      <c r="B487" s="13">
        <v>2023</v>
      </c>
      <c r="C487" s="13">
        <v>281</v>
      </c>
      <c r="D487" s="13">
        <f t="shared" si="20"/>
        <v>1</v>
      </c>
      <c r="E487" s="13"/>
      <c r="F487" s="13">
        <f t="shared" si="19"/>
        <v>5</v>
      </c>
      <c r="G487" s="14">
        <v>1</v>
      </c>
      <c r="H487" s="14">
        <v>1</v>
      </c>
      <c r="I487" s="14">
        <v>1</v>
      </c>
      <c r="J487" s="14">
        <v>1</v>
      </c>
      <c r="K487" s="14">
        <v>0</v>
      </c>
      <c r="L487" s="14">
        <v>1</v>
      </c>
      <c r="M487" s="15">
        <v>202.44399999999999</v>
      </c>
      <c r="N487" s="16" t="str">
        <f t="shared" si="21"/>
        <v>S</v>
      </c>
      <c r="O487" s="17">
        <v>2.9</v>
      </c>
      <c r="P487" s="16" t="s">
        <v>138</v>
      </c>
      <c r="Q487" s="18">
        <v>0</v>
      </c>
      <c r="R487" s="19">
        <v>18.760000000000002</v>
      </c>
      <c r="S487" s="19">
        <v>12.7</v>
      </c>
      <c r="T487" s="19">
        <v>27.2</v>
      </c>
      <c r="U487" s="20">
        <v>205.55</v>
      </c>
      <c r="V487" s="16" t="s">
        <v>5</v>
      </c>
      <c r="W487" s="21">
        <v>0</v>
      </c>
      <c r="X487" s="21">
        <v>0.08</v>
      </c>
      <c r="Y487" s="21">
        <v>0</v>
      </c>
      <c r="Z487" s="21">
        <v>0.08</v>
      </c>
      <c r="AA487" s="21">
        <v>0.54</v>
      </c>
      <c r="AB487" s="21">
        <v>0.04</v>
      </c>
      <c r="AC487" s="21">
        <v>0.17</v>
      </c>
      <c r="AD487" s="21">
        <v>0.08</v>
      </c>
      <c r="AE487" s="21">
        <v>2.57</v>
      </c>
      <c r="AF487" s="21">
        <v>1.6</v>
      </c>
      <c r="AG487" s="21">
        <v>6.3</v>
      </c>
      <c r="AH487" s="18" t="s">
        <v>44</v>
      </c>
      <c r="AI487" s="13" t="str">
        <f>VLOOKUP(AH487,'Hess and Brezowsky'!$B$2:$G$31,2,FALSE)</f>
        <v>Mixed</v>
      </c>
      <c r="AJ487" s="18" t="str">
        <f>VLOOKUP(AH487,'Hess and Brezowsky'!$B$2:$G$31,3,FALSE)</f>
        <v>A</v>
      </c>
      <c r="AK487" s="13" t="str">
        <f>VLOOKUP(AH487,'Hess and Brezowsky'!$B$2:$G$31,4,FALSE)</f>
        <v>Anticyclonic North-Westerly</v>
      </c>
      <c r="AL487" s="29">
        <v>0.25048611111111113</v>
      </c>
      <c r="AM487" s="29">
        <v>0.48571759259259262</v>
      </c>
      <c r="AN487" s="30">
        <v>0.72093750000000001</v>
      </c>
    </row>
    <row r="488" spans="1:40" ht="15.75" customHeight="1" x14ac:dyDescent="0.2">
      <c r="A488" s="27">
        <v>45208</v>
      </c>
      <c r="B488" s="13">
        <v>2023</v>
      </c>
      <c r="C488" s="13">
        <v>282</v>
      </c>
      <c r="D488" s="13">
        <f t="shared" si="20"/>
        <v>2</v>
      </c>
      <c r="E488" s="13"/>
      <c r="F488" s="13">
        <f t="shared" si="19"/>
        <v>5</v>
      </c>
      <c r="G488" s="14">
        <v>1</v>
      </c>
      <c r="H488" s="14">
        <v>1</v>
      </c>
      <c r="I488" s="14">
        <v>1</v>
      </c>
      <c r="J488" s="14">
        <v>1</v>
      </c>
      <c r="K488" s="14">
        <v>0</v>
      </c>
      <c r="L488" s="14">
        <v>1</v>
      </c>
      <c r="M488" s="15">
        <v>300.77199999999999</v>
      </c>
      <c r="N488" s="16" t="str">
        <f t="shared" si="21"/>
        <v>NW</v>
      </c>
      <c r="O488" s="17">
        <v>4.3</v>
      </c>
      <c r="P488" s="16" t="s">
        <v>138</v>
      </c>
      <c r="Q488" s="18">
        <v>0.2</v>
      </c>
      <c r="R488" s="19">
        <v>19.09</v>
      </c>
      <c r="S488" s="19">
        <v>14.1</v>
      </c>
      <c r="T488" s="19">
        <v>26.6</v>
      </c>
      <c r="U488" s="20">
        <v>294.33999999999997</v>
      </c>
      <c r="V488" s="16" t="s">
        <v>6</v>
      </c>
      <c r="W488" s="21">
        <v>0.08</v>
      </c>
      <c r="X488" s="21">
        <v>0</v>
      </c>
      <c r="Y488" s="21">
        <v>0</v>
      </c>
      <c r="Z488" s="21">
        <v>0</v>
      </c>
      <c r="AA488" s="21">
        <v>0</v>
      </c>
      <c r="AB488" s="21">
        <v>0.08</v>
      </c>
      <c r="AC488" s="21">
        <v>0.54</v>
      </c>
      <c r="AD488" s="21">
        <v>0.28999999999999998</v>
      </c>
      <c r="AE488" s="21">
        <v>4.41</v>
      </c>
      <c r="AF488" s="21">
        <v>3.95</v>
      </c>
      <c r="AG488" s="21">
        <v>7.8</v>
      </c>
      <c r="AH488" s="18" t="s">
        <v>31</v>
      </c>
      <c r="AI488" s="13" t="str">
        <f>VLOOKUP(AH488,'Hess and Brezowsky'!$B$2:$G$31,2,FALSE)</f>
        <v>Zonal</v>
      </c>
      <c r="AJ488" s="18" t="str">
        <f>VLOOKUP(AH488,'Hess and Brezowsky'!$B$2:$G$31,3,FALSE)</f>
        <v>A</v>
      </c>
      <c r="AK488" s="13" t="str">
        <f>VLOOKUP(AH488,'Hess and Brezowsky'!$B$2:$G$31,4,FALSE)</f>
        <v>Anticyclonic Westerly</v>
      </c>
      <c r="AL488" s="29">
        <v>0.2515162037037037</v>
      </c>
      <c r="AM488" s="29">
        <v>0.48552083333333335</v>
      </c>
      <c r="AN488" s="30">
        <v>0.7195138888888889</v>
      </c>
    </row>
    <row r="489" spans="1:40" ht="15.75" customHeight="1" x14ac:dyDescent="0.2">
      <c r="A489" s="27">
        <v>45209</v>
      </c>
      <c r="B489" s="13">
        <v>2023</v>
      </c>
      <c r="C489" s="13">
        <v>283</v>
      </c>
      <c r="D489" s="13">
        <f t="shared" si="20"/>
        <v>3</v>
      </c>
      <c r="E489" s="13"/>
      <c r="F489" s="13">
        <f t="shared" si="19"/>
        <v>5</v>
      </c>
      <c r="G489" s="14">
        <v>1</v>
      </c>
      <c r="H489" s="14">
        <v>1</v>
      </c>
      <c r="I489" s="14">
        <v>1</v>
      </c>
      <c r="J489" s="14">
        <v>1</v>
      </c>
      <c r="K489" s="14">
        <v>0</v>
      </c>
      <c r="L489" s="14">
        <v>1</v>
      </c>
      <c r="M489" s="15">
        <v>238.95400000000001</v>
      </c>
      <c r="N489" s="16" t="str">
        <f t="shared" si="21"/>
        <v>SW</v>
      </c>
      <c r="O489" s="17">
        <v>6.4</v>
      </c>
      <c r="P489" s="16" t="s">
        <v>138</v>
      </c>
      <c r="Q489" s="18">
        <v>0</v>
      </c>
      <c r="R489" s="19">
        <v>19.16</v>
      </c>
      <c r="S489" s="19">
        <v>12.5</v>
      </c>
      <c r="T489" s="19">
        <v>27.9</v>
      </c>
      <c r="U489" s="20">
        <v>239.25</v>
      </c>
      <c r="V489" s="16" t="s">
        <v>5</v>
      </c>
      <c r="W489" s="21">
        <v>0</v>
      </c>
      <c r="X489" s="21">
        <v>0</v>
      </c>
      <c r="Y489" s="21">
        <v>0</v>
      </c>
      <c r="Z489" s="21">
        <v>0</v>
      </c>
      <c r="AA489" s="21">
        <v>0</v>
      </c>
      <c r="AB489" s="21">
        <v>0.79</v>
      </c>
      <c r="AC489" s="21">
        <v>0.17</v>
      </c>
      <c r="AD489" s="21">
        <v>0.04</v>
      </c>
      <c r="AE489" s="21">
        <v>4.82</v>
      </c>
      <c r="AF489" s="21">
        <v>4.4800000000000004</v>
      </c>
      <c r="AG489" s="21">
        <v>9.9</v>
      </c>
      <c r="AH489" s="18" t="s">
        <v>31</v>
      </c>
      <c r="AI489" s="13" t="str">
        <f>VLOOKUP(AH489,'Hess and Brezowsky'!$B$2:$G$31,2,FALSE)</f>
        <v>Zonal</v>
      </c>
      <c r="AJ489" s="18" t="str">
        <f>VLOOKUP(AH489,'Hess and Brezowsky'!$B$2:$G$31,3,FALSE)</f>
        <v>A</v>
      </c>
      <c r="AK489" s="13" t="str">
        <f>VLOOKUP(AH489,'Hess and Brezowsky'!$B$2:$G$31,4,FALSE)</f>
        <v>Anticyclonic Westerly</v>
      </c>
      <c r="AL489" s="29">
        <v>0.25255787037037036</v>
      </c>
      <c r="AM489" s="29">
        <v>0.48532407407407407</v>
      </c>
      <c r="AN489" s="30">
        <v>0.71809027777777779</v>
      </c>
    </row>
    <row r="490" spans="1:40" ht="15.75" customHeight="1" x14ac:dyDescent="0.2">
      <c r="A490" s="27">
        <v>45210</v>
      </c>
      <c r="B490" s="13">
        <v>2023</v>
      </c>
      <c r="C490" s="13">
        <v>284</v>
      </c>
      <c r="D490" s="13">
        <f t="shared" si="20"/>
        <v>4</v>
      </c>
      <c r="E490" s="13"/>
      <c r="F490" s="13">
        <f t="shared" si="19"/>
        <v>5</v>
      </c>
      <c r="G490" s="14">
        <v>1</v>
      </c>
      <c r="H490" s="14">
        <v>1</v>
      </c>
      <c r="I490" s="14">
        <v>1</v>
      </c>
      <c r="J490" s="14">
        <v>1</v>
      </c>
      <c r="K490" s="14">
        <v>0</v>
      </c>
      <c r="L490" s="14">
        <v>1</v>
      </c>
      <c r="M490" s="15">
        <v>236.77500000000001</v>
      </c>
      <c r="N490" s="16" t="str">
        <f t="shared" si="21"/>
        <v>SW</v>
      </c>
      <c r="O490" s="17">
        <v>9</v>
      </c>
      <c r="P490" s="16" t="s">
        <v>138</v>
      </c>
      <c r="Q490" s="18">
        <v>0</v>
      </c>
      <c r="R490" s="19">
        <v>19.03</v>
      </c>
      <c r="S490" s="19">
        <v>12.8</v>
      </c>
      <c r="T490" s="19">
        <v>25.6</v>
      </c>
      <c r="U490" s="20">
        <v>238.3</v>
      </c>
      <c r="V490" s="16" t="s">
        <v>5</v>
      </c>
      <c r="W490" s="21">
        <v>0</v>
      </c>
      <c r="X490" s="21">
        <v>0</v>
      </c>
      <c r="Y490" s="21">
        <v>0</v>
      </c>
      <c r="Z490" s="21">
        <v>0</v>
      </c>
      <c r="AA490" s="21">
        <v>0</v>
      </c>
      <c r="AB490" s="21">
        <v>0.67</v>
      </c>
      <c r="AC490" s="21">
        <v>0.33</v>
      </c>
      <c r="AD490" s="21">
        <v>0</v>
      </c>
      <c r="AE490" s="21">
        <v>7.99</v>
      </c>
      <c r="AF490" s="21">
        <v>7.5</v>
      </c>
      <c r="AG490" s="21">
        <v>14.9</v>
      </c>
      <c r="AH490" s="18" t="s">
        <v>31</v>
      </c>
      <c r="AI490" s="13" t="str">
        <f>VLOOKUP(AH490,'Hess and Brezowsky'!$B$2:$G$31,2,FALSE)</f>
        <v>Zonal</v>
      </c>
      <c r="AJ490" s="18" t="str">
        <f>VLOOKUP(AH490,'Hess and Brezowsky'!$B$2:$G$31,3,FALSE)</f>
        <v>A</v>
      </c>
      <c r="AK490" s="13" t="str">
        <f>VLOOKUP(AH490,'Hess and Brezowsky'!$B$2:$G$31,4,FALSE)</f>
        <v>Anticyclonic Westerly</v>
      </c>
      <c r="AL490" s="29">
        <v>0.25358796296296299</v>
      </c>
      <c r="AM490" s="29">
        <v>0.4851388888888889</v>
      </c>
      <c r="AN490" s="30">
        <v>0.71667824074074071</v>
      </c>
    </row>
    <row r="491" spans="1:40" ht="15.75" customHeight="1" x14ac:dyDescent="0.2">
      <c r="A491" s="27">
        <v>45211</v>
      </c>
      <c r="B491" s="13">
        <v>2023</v>
      </c>
      <c r="C491" s="13">
        <v>285</v>
      </c>
      <c r="D491" s="13">
        <f t="shared" si="20"/>
        <v>5</v>
      </c>
      <c r="E491" s="13"/>
      <c r="F491" s="13">
        <f t="shared" si="19"/>
        <v>5</v>
      </c>
      <c r="G491" s="14">
        <v>1</v>
      </c>
      <c r="H491" s="14">
        <v>1</v>
      </c>
      <c r="I491" s="14">
        <v>1</v>
      </c>
      <c r="J491" s="14">
        <v>1</v>
      </c>
      <c r="K491" s="14">
        <v>0</v>
      </c>
      <c r="L491" s="14">
        <v>1</v>
      </c>
      <c r="M491" s="15">
        <v>236.626</v>
      </c>
      <c r="N491" s="16" t="str">
        <f t="shared" si="21"/>
        <v>SW</v>
      </c>
      <c r="O491" s="17">
        <v>7.8</v>
      </c>
      <c r="P491" s="16" t="s">
        <v>137</v>
      </c>
      <c r="Q491" s="18">
        <v>3.9</v>
      </c>
      <c r="R491" s="19">
        <v>19.07</v>
      </c>
      <c r="S491" s="19">
        <v>16.5</v>
      </c>
      <c r="T491" s="19">
        <v>22.5</v>
      </c>
      <c r="U491" s="20">
        <v>240.05</v>
      </c>
      <c r="V491" s="16" t="s">
        <v>5</v>
      </c>
      <c r="W491" s="21">
        <v>0</v>
      </c>
      <c r="X491" s="21">
        <v>0</v>
      </c>
      <c r="Y491" s="21">
        <v>0</v>
      </c>
      <c r="Z491" s="21">
        <v>0</v>
      </c>
      <c r="AA491" s="21">
        <v>0</v>
      </c>
      <c r="AB491" s="21">
        <v>0.79</v>
      </c>
      <c r="AC491" s="21">
        <v>0.21</v>
      </c>
      <c r="AD491" s="21">
        <v>0</v>
      </c>
      <c r="AE491" s="21">
        <v>8.18</v>
      </c>
      <c r="AF491" s="21">
        <v>8.01</v>
      </c>
      <c r="AG491" s="21">
        <v>13</v>
      </c>
      <c r="AH491" s="18" t="s">
        <v>31</v>
      </c>
      <c r="AI491" s="13" t="str">
        <f>VLOOKUP(AH491,'Hess and Brezowsky'!$B$2:$G$31,2,FALSE)</f>
        <v>Zonal</v>
      </c>
      <c r="AJ491" s="18" t="str">
        <f>VLOOKUP(AH491,'Hess and Brezowsky'!$B$2:$G$31,3,FALSE)</f>
        <v>A</v>
      </c>
      <c r="AK491" s="13" t="str">
        <f>VLOOKUP(AH491,'Hess and Brezowsky'!$B$2:$G$31,4,FALSE)</f>
        <v>Anticyclonic Westerly</v>
      </c>
      <c r="AL491" s="29">
        <v>0.25462962962962965</v>
      </c>
      <c r="AM491" s="29">
        <v>0.48495370370370372</v>
      </c>
      <c r="AN491" s="30">
        <v>0.71527777777777779</v>
      </c>
    </row>
    <row r="492" spans="1:40" ht="15.75" customHeight="1" x14ac:dyDescent="0.2">
      <c r="A492" s="27">
        <v>45212</v>
      </c>
      <c r="B492" s="13">
        <v>2023</v>
      </c>
      <c r="C492" s="13">
        <v>286</v>
      </c>
      <c r="D492" s="13">
        <f t="shared" si="20"/>
        <v>6</v>
      </c>
      <c r="E492" s="13"/>
      <c r="F492" s="13">
        <f t="shared" si="19"/>
        <v>5</v>
      </c>
      <c r="G492" s="14">
        <v>1</v>
      </c>
      <c r="H492" s="14">
        <v>1</v>
      </c>
      <c r="I492" s="14">
        <v>1</v>
      </c>
      <c r="J492" s="14">
        <v>1</v>
      </c>
      <c r="K492" s="14">
        <v>0</v>
      </c>
      <c r="L492" s="14">
        <v>1</v>
      </c>
      <c r="M492" s="15">
        <v>217.62799999999999</v>
      </c>
      <c r="N492" s="16" t="str">
        <f t="shared" si="21"/>
        <v>SW</v>
      </c>
      <c r="O492" s="17">
        <v>12.8</v>
      </c>
      <c r="P492" s="16" t="s">
        <v>137</v>
      </c>
      <c r="Q492" s="18">
        <v>0.4</v>
      </c>
      <c r="R492" s="19">
        <v>20.77</v>
      </c>
      <c r="S492" s="19">
        <v>17.3</v>
      </c>
      <c r="T492" s="19">
        <v>25.6</v>
      </c>
      <c r="U492" s="20">
        <v>213.15</v>
      </c>
      <c r="V492" s="16" t="s">
        <v>5</v>
      </c>
      <c r="W492" s="21">
        <v>0</v>
      </c>
      <c r="X492" s="21">
        <v>0</v>
      </c>
      <c r="Y492" s="21">
        <v>0</v>
      </c>
      <c r="Z492" s="21">
        <v>0</v>
      </c>
      <c r="AA492" s="21">
        <v>0.21</v>
      </c>
      <c r="AB492" s="21">
        <v>0.79</v>
      </c>
      <c r="AC492" s="21">
        <v>0</v>
      </c>
      <c r="AD492" s="21">
        <v>0</v>
      </c>
      <c r="AE492" s="21">
        <v>11.33</v>
      </c>
      <c r="AF492" s="21">
        <v>11.08</v>
      </c>
      <c r="AG492" s="21">
        <v>16.8</v>
      </c>
      <c r="AH492" s="18" t="s">
        <v>12</v>
      </c>
      <c r="AI492" s="13" t="str">
        <f>VLOOKUP(AH492,'Hess and Brezowsky'!$B$2:$G$31,2,FALSE)</f>
        <v>Undefined</v>
      </c>
      <c r="AJ492" s="18" t="str">
        <f>VLOOKUP(AH492,'Hess and Brezowsky'!$B$2:$G$31,3,FALSE)</f>
        <v>M</v>
      </c>
      <c r="AK492" s="13" t="str">
        <f>VLOOKUP(AH492,'Hess and Brezowsky'!$B$2:$G$31,4,FALSE)</f>
        <v>Transistion / Undefined</v>
      </c>
      <c r="AL492" s="29">
        <v>0.25567129629629631</v>
      </c>
      <c r="AM492" s="29">
        <v>0.48478009259259258</v>
      </c>
      <c r="AN492" s="30">
        <v>0.71387731481481487</v>
      </c>
    </row>
    <row r="493" spans="1:40" ht="15.75" customHeight="1" x14ac:dyDescent="0.2">
      <c r="A493" s="27">
        <v>45213</v>
      </c>
      <c r="B493" s="13">
        <v>2023</v>
      </c>
      <c r="C493" s="13">
        <v>287</v>
      </c>
      <c r="D493" s="13">
        <f t="shared" si="20"/>
        <v>7</v>
      </c>
      <c r="E493" s="13"/>
      <c r="F493" s="13">
        <f t="shared" si="19"/>
        <v>5</v>
      </c>
      <c r="G493" s="14">
        <v>1</v>
      </c>
      <c r="H493" s="14">
        <v>1</v>
      </c>
      <c r="I493" s="14">
        <v>1</v>
      </c>
      <c r="J493" s="14">
        <v>1</v>
      </c>
      <c r="K493" s="14">
        <v>0</v>
      </c>
      <c r="L493" s="14">
        <v>1</v>
      </c>
      <c r="M493" s="15">
        <v>295.375</v>
      </c>
      <c r="N493" s="16" t="str">
        <f t="shared" si="21"/>
        <v>NW</v>
      </c>
      <c r="O493" s="17">
        <v>7</v>
      </c>
      <c r="P493" s="16" t="s">
        <v>137</v>
      </c>
      <c r="Q493" s="18">
        <v>1.6</v>
      </c>
      <c r="R493" s="19">
        <v>13.53</v>
      </c>
      <c r="S493" s="19">
        <v>10.6</v>
      </c>
      <c r="T493" s="19">
        <v>18.899999999999999</v>
      </c>
      <c r="U493" s="20">
        <v>290.77</v>
      </c>
      <c r="V493" s="16" t="s">
        <v>16</v>
      </c>
      <c r="W493" s="21">
        <v>0</v>
      </c>
      <c r="X493" s="21">
        <v>0</v>
      </c>
      <c r="Y493" s="21">
        <v>0</v>
      </c>
      <c r="Z493" s="21">
        <v>0</v>
      </c>
      <c r="AA493" s="21">
        <v>0</v>
      </c>
      <c r="AB493" s="21">
        <v>0</v>
      </c>
      <c r="AC493" s="21">
        <v>0.5</v>
      </c>
      <c r="AD493" s="21">
        <v>0.5</v>
      </c>
      <c r="AE493" s="21">
        <v>8.07</v>
      </c>
      <c r="AF493" s="21">
        <v>7.7</v>
      </c>
      <c r="AG493" s="21">
        <v>15.8</v>
      </c>
      <c r="AH493" s="18" t="s">
        <v>12</v>
      </c>
      <c r="AI493" s="13" t="str">
        <f>VLOOKUP(AH493,'Hess and Brezowsky'!$B$2:$G$31,2,FALSE)</f>
        <v>Undefined</v>
      </c>
      <c r="AJ493" s="18" t="str">
        <f>VLOOKUP(AH493,'Hess and Brezowsky'!$B$2:$G$31,3,FALSE)</f>
        <v>M</v>
      </c>
      <c r="AK493" s="13" t="str">
        <f>VLOOKUP(AH493,'Hess and Brezowsky'!$B$2:$G$31,4,FALSE)</f>
        <v>Transistion / Undefined</v>
      </c>
      <c r="AL493" s="29">
        <v>0.25672453703703701</v>
      </c>
      <c r="AM493" s="29">
        <v>0.4846064814814815</v>
      </c>
      <c r="AN493" s="30">
        <v>0.71248842592592587</v>
      </c>
    </row>
    <row r="494" spans="1:40" ht="15.75" customHeight="1" x14ac:dyDescent="0.2">
      <c r="A494" s="27">
        <v>45214</v>
      </c>
      <c r="B494" s="13">
        <v>2023</v>
      </c>
      <c r="C494" s="13">
        <v>288</v>
      </c>
      <c r="D494" s="13">
        <f t="shared" si="20"/>
        <v>1</v>
      </c>
      <c r="E494" s="13"/>
      <c r="F494" s="13">
        <f t="shared" si="19"/>
        <v>5</v>
      </c>
      <c r="G494" s="14">
        <v>1</v>
      </c>
      <c r="H494" s="14">
        <v>1</v>
      </c>
      <c r="I494" s="14">
        <v>1</v>
      </c>
      <c r="J494" s="14">
        <v>1</v>
      </c>
      <c r="K494" s="14">
        <v>0</v>
      </c>
      <c r="L494" s="14">
        <v>1</v>
      </c>
      <c r="M494" s="15">
        <v>7.9630000000000001</v>
      </c>
      <c r="N494" s="16" t="str">
        <f t="shared" si="21"/>
        <v>N</v>
      </c>
      <c r="O494" s="17">
        <v>6</v>
      </c>
      <c r="P494" s="16" t="s">
        <v>138</v>
      </c>
      <c r="Q494" s="18">
        <v>0</v>
      </c>
      <c r="R494" s="19">
        <v>10.55</v>
      </c>
      <c r="S494" s="19">
        <v>8.3000000000000007</v>
      </c>
      <c r="T494" s="19">
        <v>13.5</v>
      </c>
      <c r="U494" s="20">
        <v>359.87</v>
      </c>
      <c r="V494" s="16" t="s">
        <v>7</v>
      </c>
      <c r="W494" s="21">
        <v>0.42</v>
      </c>
      <c r="X494" s="21">
        <v>0.17</v>
      </c>
      <c r="Y494" s="21">
        <v>0.12</v>
      </c>
      <c r="Z494" s="21">
        <v>0</v>
      </c>
      <c r="AA494" s="21">
        <v>0</v>
      </c>
      <c r="AB494" s="21">
        <v>0</v>
      </c>
      <c r="AC494" s="21">
        <v>0</v>
      </c>
      <c r="AD494" s="21">
        <v>0.28999999999999998</v>
      </c>
      <c r="AE494" s="21">
        <v>6.45</v>
      </c>
      <c r="AF494" s="21">
        <v>4.5999999999999996</v>
      </c>
      <c r="AG494" s="21">
        <v>10.8</v>
      </c>
      <c r="AH494" s="18" t="s">
        <v>44</v>
      </c>
      <c r="AI494" s="13" t="str">
        <f>VLOOKUP(AH494,'Hess and Brezowsky'!$B$2:$G$31,2,FALSE)</f>
        <v>Mixed</v>
      </c>
      <c r="AJ494" s="18" t="str">
        <f>VLOOKUP(AH494,'Hess and Brezowsky'!$B$2:$G$31,3,FALSE)</f>
        <v>A</v>
      </c>
      <c r="AK494" s="13" t="str">
        <f>VLOOKUP(AH494,'Hess and Brezowsky'!$B$2:$G$31,4,FALSE)</f>
        <v>Anticyclonic North-Westerly</v>
      </c>
      <c r="AL494" s="29">
        <v>0.25777777777777777</v>
      </c>
      <c r="AM494" s="29">
        <v>0.48444444444444446</v>
      </c>
      <c r="AN494" s="30">
        <v>0.71111111111111114</v>
      </c>
    </row>
    <row r="495" spans="1:40" ht="15.75" customHeight="1" x14ac:dyDescent="0.2">
      <c r="A495" s="27">
        <v>45215</v>
      </c>
      <c r="B495" s="13">
        <v>2023</v>
      </c>
      <c r="C495" s="13">
        <v>289</v>
      </c>
      <c r="D495" s="13">
        <f t="shared" si="20"/>
        <v>2</v>
      </c>
      <c r="E495" s="13"/>
      <c r="F495" s="13">
        <f t="shared" si="19"/>
        <v>5</v>
      </c>
      <c r="G495" s="14">
        <v>1</v>
      </c>
      <c r="H495" s="14">
        <v>0.91</v>
      </c>
      <c r="I495" s="14">
        <v>1</v>
      </c>
      <c r="J495" s="14">
        <v>1</v>
      </c>
      <c r="K495" s="14">
        <v>0</v>
      </c>
      <c r="L495" s="14">
        <v>1</v>
      </c>
      <c r="M495" s="15">
        <v>85.394999999999996</v>
      </c>
      <c r="N495" s="16" t="str">
        <f t="shared" si="21"/>
        <v>E</v>
      </c>
      <c r="O495" s="17">
        <v>9.6999999999999993</v>
      </c>
      <c r="P495" s="16" t="s">
        <v>138</v>
      </c>
      <c r="Q495" s="18">
        <v>0</v>
      </c>
      <c r="R495" s="19">
        <v>9.3000000000000007</v>
      </c>
      <c r="S495" s="19">
        <v>5.7</v>
      </c>
      <c r="T495" s="19">
        <v>13.9</v>
      </c>
      <c r="U495" s="20">
        <v>88.71</v>
      </c>
      <c r="V495" s="16" t="s">
        <v>9</v>
      </c>
      <c r="W495" s="21">
        <v>0</v>
      </c>
      <c r="X495" s="21">
        <v>0.04</v>
      </c>
      <c r="Y495" s="21">
        <v>0.96</v>
      </c>
      <c r="Z495" s="21">
        <v>0</v>
      </c>
      <c r="AA495" s="21">
        <v>0</v>
      </c>
      <c r="AB495" s="21">
        <v>0</v>
      </c>
      <c r="AC495" s="21">
        <v>0</v>
      </c>
      <c r="AD495" s="21">
        <v>0</v>
      </c>
      <c r="AE495" s="21">
        <v>9.39</v>
      </c>
      <c r="AF495" s="21">
        <v>9.24</v>
      </c>
      <c r="AG495" s="21">
        <v>13.2</v>
      </c>
      <c r="AH495" s="18" t="s">
        <v>44</v>
      </c>
      <c r="AI495" s="13" t="str">
        <f>VLOOKUP(AH495,'Hess and Brezowsky'!$B$2:$G$31,2,FALSE)</f>
        <v>Mixed</v>
      </c>
      <c r="AJ495" s="18" t="str">
        <f>VLOOKUP(AH495,'Hess and Brezowsky'!$B$2:$G$31,3,FALSE)</f>
        <v>A</v>
      </c>
      <c r="AK495" s="13" t="str">
        <f>VLOOKUP(AH495,'Hess and Brezowsky'!$B$2:$G$31,4,FALSE)</f>
        <v>Anticyclonic North-Westerly</v>
      </c>
      <c r="AL495" s="29">
        <v>0.25884259259259257</v>
      </c>
      <c r="AM495" s="29">
        <v>0.48429398148148151</v>
      </c>
      <c r="AN495" s="30">
        <v>0.70974537037037033</v>
      </c>
    </row>
    <row r="496" spans="1:40" ht="15.75" customHeight="1" x14ac:dyDescent="0.2">
      <c r="A496" s="27">
        <v>45216</v>
      </c>
      <c r="B496" s="13">
        <v>2023</v>
      </c>
      <c r="C496" s="13">
        <v>290</v>
      </c>
      <c r="D496" s="13">
        <f t="shared" si="20"/>
        <v>3</v>
      </c>
      <c r="E496" s="13"/>
      <c r="F496" s="13">
        <f t="shared" si="19"/>
        <v>5</v>
      </c>
      <c r="G496" s="14">
        <v>1</v>
      </c>
      <c r="H496" s="14">
        <v>1</v>
      </c>
      <c r="I496" s="14">
        <v>1</v>
      </c>
      <c r="J496" s="14">
        <v>1</v>
      </c>
      <c r="K496" s="14">
        <v>0</v>
      </c>
      <c r="L496" s="14">
        <v>1</v>
      </c>
      <c r="M496" s="15">
        <v>93.385999999999996</v>
      </c>
      <c r="N496" s="16" t="str">
        <f t="shared" si="21"/>
        <v>E</v>
      </c>
      <c r="O496" s="17">
        <v>7.9</v>
      </c>
      <c r="P496" s="16" t="s">
        <v>138</v>
      </c>
      <c r="Q496" s="18">
        <v>0</v>
      </c>
      <c r="R496" s="19">
        <v>11.12</v>
      </c>
      <c r="S496" s="19">
        <v>5.9</v>
      </c>
      <c r="T496" s="19">
        <v>16.600000000000001</v>
      </c>
      <c r="U496" s="20">
        <v>100.81</v>
      </c>
      <c r="V496" s="16" t="s">
        <v>9</v>
      </c>
      <c r="W496" s="21">
        <v>0</v>
      </c>
      <c r="X496" s="21">
        <v>0.04</v>
      </c>
      <c r="Y496" s="21">
        <v>0.83</v>
      </c>
      <c r="Z496" s="21">
        <v>0.12</v>
      </c>
      <c r="AA496" s="21">
        <v>0</v>
      </c>
      <c r="AB496" s="21">
        <v>0</v>
      </c>
      <c r="AC496" s="21">
        <v>0</v>
      </c>
      <c r="AD496" s="21">
        <v>0</v>
      </c>
      <c r="AE496" s="21">
        <v>7.97</v>
      </c>
      <c r="AF496" s="21">
        <v>7.79</v>
      </c>
      <c r="AG496" s="21">
        <v>13.8</v>
      </c>
      <c r="AH496" s="18" t="s">
        <v>44</v>
      </c>
      <c r="AI496" s="13" t="str">
        <f>VLOOKUP(AH496,'Hess and Brezowsky'!$B$2:$G$31,2,FALSE)</f>
        <v>Mixed</v>
      </c>
      <c r="AJ496" s="18" t="str">
        <f>VLOOKUP(AH496,'Hess and Brezowsky'!$B$2:$G$31,3,FALSE)</f>
        <v>A</v>
      </c>
      <c r="AK496" s="13" t="str">
        <f>VLOOKUP(AH496,'Hess and Brezowsky'!$B$2:$G$31,4,FALSE)</f>
        <v>Anticyclonic North-Westerly</v>
      </c>
      <c r="AL496" s="29">
        <v>0.25989583333333333</v>
      </c>
      <c r="AM496" s="29">
        <v>0.4841435185185185</v>
      </c>
      <c r="AN496" s="30">
        <v>0.70839120370370368</v>
      </c>
    </row>
    <row r="497" spans="1:40" ht="15.75" customHeight="1" x14ac:dyDescent="0.2">
      <c r="A497" s="27">
        <v>45217</v>
      </c>
      <c r="B497" s="13">
        <v>2023</v>
      </c>
      <c r="C497" s="13">
        <v>291</v>
      </c>
      <c r="D497" s="13">
        <f t="shared" si="20"/>
        <v>4</v>
      </c>
      <c r="E497" s="13"/>
      <c r="F497" s="13">
        <f t="shared" si="19"/>
        <v>5</v>
      </c>
      <c r="G497" s="14">
        <v>1</v>
      </c>
      <c r="H497" s="14">
        <v>1</v>
      </c>
      <c r="I497" s="14">
        <v>1</v>
      </c>
      <c r="J497" s="14">
        <v>1</v>
      </c>
      <c r="K497" s="14">
        <v>0</v>
      </c>
      <c r="L497" s="14">
        <v>1</v>
      </c>
      <c r="M497" s="15">
        <v>161.66</v>
      </c>
      <c r="N497" s="16" t="str">
        <f t="shared" si="21"/>
        <v>S</v>
      </c>
      <c r="O497" s="17">
        <v>11.7</v>
      </c>
      <c r="P497" s="16" t="s">
        <v>140</v>
      </c>
      <c r="Q497" s="18">
        <v>6</v>
      </c>
      <c r="R497" s="19">
        <v>15.16</v>
      </c>
      <c r="S497" s="19">
        <v>11.2</v>
      </c>
      <c r="T497" s="19">
        <v>18.600000000000001</v>
      </c>
      <c r="U497" s="20">
        <v>161.85</v>
      </c>
      <c r="V497" s="16" t="s">
        <v>13</v>
      </c>
      <c r="W497" s="21">
        <v>0</v>
      </c>
      <c r="X497" s="21">
        <v>0</v>
      </c>
      <c r="Y497" s="21">
        <v>0</v>
      </c>
      <c r="Z497" s="21">
        <v>0.5</v>
      </c>
      <c r="AA497" s="21">
        <v>0.25</v>
      </c>
      <c r="AB497" s="21">
        <v>0.25</v>
      </c>
      <c r="AC497" s="21">
        <v>0</v>
      </c>
      <c r="AD497" s="21">
        <v>0</v>
      </c>
      <c r="AE497" s="21">
        <v>12.31</v>
      </c>
      <c r="AF497" s="21">
        <v>10.220000000000001</v>
      </c>
      <c r="AG497" s="21">
        <v>20</v>
      </c>
      <c r="AH497" s="18" t="s">
        <v>46</v>
      </c>
      <c r="AI497" s="13" t="str">
        <f>VLOOKUP(AH497,'Hess and Brezowsky'!$B$2:$G$31,2,FALSE)</f>
        <v>Meridional</v>
      </c>
      <c r="AJ497" s="18" t="str">
        <f>VLOOKUP(AH497,'Hess and Brezowsky'!$B$2:$G$31,3,FALSE)</f>
        <v>C</v>
      </c>
      <c r="AK497" s="13" t="str">
        <f>VLOOKUP(AH497,'Hess and Brezowsky'!$B$2:$G$31,4,FALSE)</f>
        <v>Cyclonic South-Easterly</v>
      </c>
      <c r="AL497" s="29">
        <v>0.26096064814814812</v>
      </c>
      <c r="AM497" s="29">
        <v>0.48400462962962965</v>
      </c>
      <c r="AN497" s="30">
        <v>0.70704861111111106</v>
      </c>
    </row>
    <row r="498" spans="1:40" ht="15.75" customHeight="1" x14ac:dyDescent="0.2">
      <c r="A498" s="27">
        <v>45218</v>
      </c>
      <c r="B498" s="13">
        <v>2023</v>
      </c>
      <c r="C498" s="13">
        <v>292</v>
      </c>
      <c r="D498" s="13">
        <f t="shared" si="20"/>
        <v>5</v>
      </c>
      <c r="E498" s="13"/>
      <c r="F498" s="13">
        <f t="shared" si="19"/>
        <v>5</v>
      </c>
      <c r="G498" s="14">
        <v>1</v>
      </c>
      <c r="H498" s="14">
        <v>1</v>
      </c>
      <c r="I498" s="14">
        <v>1</v>
      </c>
      <c r="J498" s="14">
        <v>1</v>
      </c>
      <c r="K498" s="14">
        <v>0</v>
      </c>
      <c r="L498" s="14">
        <v>1</v>
      </c>
      <c r="M498" s="15">
        <v>175.32400000000001</v>
      </c>
      <c r="N498" s="16" t="str">
        <f t="shared" si="21"/>
        <v>S</v>
      </c>
      <c r="O498" s="17">
        <v>10.199999999999999</v>
      </c>
      <c r="P498" s="16" t="s">
        <v>137</v>
      </c>
      <c r="Q498" s="18">
        <v>1.4</v>
      </c>
      <c r="R498" s="19">
        <v>17.600000000000001</v>
      </c>
      <c r="S498" s="19">
        <v>15.3</v>
      </c>
      <c r="T498" s="19">
        <v>22.5</v>
      </c>
      <c r="U498" s="20">
        <v>174.33</v>
      </c>
      <c r="V498" s="16" t="s">
        <v>13</v>
      </c>
      <c r="W498" s="21">
        <v>0</v>
      </c>
      <c r="X498" s="21">
        <v>0</v>
      </c>
      <c r="Y498" s="21">
        <v>0</v>
      </c>
      <c r="Z498" s="21">
        <v>0.12</v>
      </c>
      <c r="AA498" s="21">
        <v>0.83</v>
      </c>
      <c r="AB498" s="21">
        <v>0.04</v>
      </c>
      <c r="AC498" s="21">
        <v>0</v>
      </c>
      <c r="AD498" s="21">
        <v>0</v>
      </c>
      <c r="AE498" s="21">
        <v>11.18</v>
      </c>
      <c r="AF498" s="21">
        <v>10.82</v>
      </c>
      <c r="AG498" s="21">
        <v>16.600000000000001</v>
      </c>
      <c r="AH498" s="18" t="s">
        <v>46</v>
      </c>
      <c r="AI498" s="13" t="str">
        <f>VLOOKUP(AH498,'Hess and Brezowsky'!$B$2:$G$31,2,FALSE)</f>
        <v>Meridional</v>
      </c>
      <c r="AJ498" s="18" t="str">
        <f>VLOOKUP(AH498,'Hess and Brezowsky'!$B$2:$G$31,3,FALSE)</f>
        <v>C</v>
      </c>
      <c r="AK498" s="13" t="str">
        <f>VLOOKUP(AH498,'Hess and Brezowsky'!$B$2:$G$31,4,FALSE)</f>
        <v>Cyclonic South-Easterly</v>
      </c>
      <c r="AL498" s="29">
        <v>0.26203703703703701</v>
      </c>
      <c r="AM498" s="29">
        <v>0.48387731481481483</v>
      </c>
      <c r="AN498" s="30">
        <v>0.70570601851851855</v>
      </c>
    </row>
    <row r="499" spans="1:40" ht="15.75" customHeight="1" x14ac:dyDescent="0.2">
      <c r="A499" s="27">
        <v>45219</v>
      </c>
      <c r="B499" s="13">
        <v>2023</v>
      </c>
      <c r="C499" s="13">
        <v>293</v>
      </c>
      <c r="D499" s="13">
        <f t="shared" si="20"/>
        <v>6</v>
      </c>
      <c r="E499" s="13"/>
      <c r="F499" s="13">
        <f t="shared" si="19"/>
        <v>5</v>
      </c>
      <c r="G499" s="14">
        <v>1</v>
      </c>
      <c r="H499" s="14">
        <v>1</v>
      </c>
      <c r="I499" s="14">
        <v>1</v>
      </c>
      <c r="J499" s="14">
        <v>1</v>
      </c>
      <c r="K499" s="14">
        <v>0</v>
      </c>
      <c r="L499" s="14">
        <v>0.91</v>
      </c>
      <c r="M499" s="15">
        <v>223.35599999999999</v>
      </c>
      <c r="N499" s="16" t="str">
        <f t="shared" si="21"/>
        <v>SW</v>
      </c>
      <c r="O499" s="17">
        <v>6.3</v>
      </c>
      <c r="P499" s="16" t="s">
        <v>137</v>
      </c>
      <c r="Q499" s="18">
        <v>9.6999999999999993</v>
      </c>
      <c r="R499" s="19">
        <v>15.05</v>
      </c>
      <c r="S499" s="19">
        <v>13.8</v>
      </c>
      <c r="T499" s="19">
        <v>18.399999999999999</v>
      </c>
      <c r="U499" s="20">
        <v>222.35</v>
      </c>
      <c r="V499" s="16" t="s">
        <v>5</v>
      </c>
      <c r="W499" s="21">
        <v>0</v>
      </c>
      <c r="X499" s="21">
        <v>0</v>
      </c>
      <c r="Y499" s="21">
        <v>0</v>
      </c>
      <c r="Z499" s="21">
        <v>0.04</v>
      </c>
      <c r="AA499" s="21">
        <v>0.12</v>
      </c>
      <c r="AB499" s="21">
        <v>0.75</v>
      </c>
      <c r="AC499" s="21">
        <v>0.08</v>
      </c>
      <c r="AD499" s="21">
        <v>0</v>
      </c>
      <c r="AE499" s="21">
        <v>5.74</v>
      </c>
      <c r="AF499" s="21">
        <v>5.41</v>
      </c>
      <c r="AG499" s="21">
        <v>13.3</v>
      </c>
      <c r="AH499" s="18" t="s">
        <v>46</v>
      </c>
      <c r="AI499" s="13" t="str">
        <f>VLOOKUP(AH499,'Hess and Brezowsky'!$B$2:$G$31,2,FALSE)</f>
        <v>Meridional</v>
      </c>
      <c r="AJ499" s="18" t="str">
        <f>VLOOKUP(AH499,'Hess and Brezowsky'!$B$2:$G$31,3,FALSE)</f>
        <v>C</v>
      </c>
      <c r="AK499" s="13" t="str">
        <f>VLOOKUP(AH499,'Hess and Brezowsky'!$B$2:$G$31,4,FALSE)</f>
        <v>Cyclonic South-Easterly</v>
      </c>
      <c r="AL499" s="29">
        <v>0.2631134259259259</v>
      </c>
      <c r="AM499" s="29">
        <v>0.48375000000000001</v>
      </c>
      <c r="AN499" s="30">
        <v>0.70438657407407412</v>
      </c>
    </row>
    <row r="500" spans="1:40" ht="15.75" customHeight="1" x14ac:dyDescent="0.2">
      <c r="A500" s="27">
        <v>45220</v>
      </c>
      <c r="B500" s="13">
        <v>2023</v>
      </c>
      <c r="C500" s="13">
        <v>294</v>
      </c>
      <c r="D500" s="13">
        <f t="shared" si="20"/>
        <v>7</v>
      </c>
      <c r="E500" s="13"/>
      <c r="F500" s="13">
        <f t="shared" si="19"/>
        <v>5</v>
      </c>
      <c r="G500" s="14">
        <v>1</v>
      </c>
      <c r="H500" s="14">
        <v>1</v>
      </c>
      <c r="I500" s="14">
        <v>1</v>
      </c>
      <c r="J500" s="14">
        <v>1</v>
      </c>
      <c r="K500" s="14">
        <v>0</v>
      </c>
      <c r="L500" s="14">
        <v>1</v>
      </c>
      <c r="M500" s="15">
        <v>212.035</v>
      </c>
      <c r="N500" s="16" t="str">
        <f t="shared" si="21"/>
        <v>SW</v>
      </c>
      <c r="O500" s="17">
        <v>14</v>
      </c>
      <c r="P500" s="16" t="s">
        <v>137</v>
      </c>
      <c r="Q500" s="18">
        <v>5</v>
      </c>
      <c r="R500" s="19">
        <v>13.33</v>
      </c>
      <c r="S500" s="19">
        <v>12.2</v>
      </c>
      <c r="T500" s="19">
        <v>15.9</v>
      </c>
      <c r="U500" s="20">
        <v>208.38</v>
      </c>
      <c r="V500" s="16" t="s">
        <v>5</v>
      </c>
      <c r="W500" s="21">
        <v>0</v>
      </c>
      <c r="X500" s="21">
        <v>0</v>
      </c>
      <c r="Y500" s="21">
        <v>0</v>
      </c>
      <c r="Z500" s="21">
        <v>0</v>
      </c>
      <c r="AA500" s="21">
        <v>0.42</v>
      </c>
      <c r="AB500" s="21">
        <v>0.57999999999999996</v>
      </c>
      <c r="AC500" s="21">
        <v>0</v>
      </c>
      <c r="AD500" s="21">
        <v>0</v>
      </c>
      <c r="AE500" s="21">
        <v>13.14</v>
      </c>
      <c r="AF500" s="21">
        <v>12.96</v>
      </c>
      <c r="AG500" s="21">
        <v>18.5</v>
      </c>
      <c r="AH500" s="18" t="s">
        <v>36</v>
      </c>
      <c r="AI500" s="13" t="str">
        <f>VLOOKUP(AH500,'Hess and Brezowsky'!$B$2:$G$31,2,FALSE)</f>
        <v>Meridional</v>
      </c>
      <c r="AJ500" s="18" t="str">
        <f>VLOOKUP(AH500,'Hess and Brezowsky'!$B$2:$G$31,3,FALSE)</f>
        <v>C</v>
      </c>
      <c r="AK500" s="13" t="str">
        <f>VLOOKUP(AH500,'Hess and Brezowsky'!$B$2:$G$31,4,FALSE)</f>
        <v>Low over the British Isles</v>
      </c>
      <c r="AL500" s="29">
        <v>0.26418981481481479</v>
      </c>
      <c r="AM500" s="29">
        <v>0.48363425925925924</v>
      </c>
      <c r="AN500" s="30">
        <v>0.70307870370370373</v>
      </c>
    </row>
    <row r="501" spans="1:40" ht="15.75" customHeight="1" x14ac:dyDescent="0.2">
      <c r="A501" s="27">
        <v>45221</v>
      </c>
      <c r="B501" s="13">
        <v>2023</v>
      </c>
      <c r="C501" s="13">
        <v>295</v>
      </c>
      <c r="D501" s="13">
        <f t="shared" si="20"/>
        <v>1</v>
      </c>
      <c r="E501" s="13"/>
      <c r="F501" s="13">
        <f t="shared" si="19"/>
        <v>5</v>
      </c>
      <c r="G501" s="14">
        <v>1</v>
      </c>
      <c r="H501" s="14">
        <v>1</v>
      </c>
      <c r="I501" s="14">
        <v>1</v>
      </c>
      <c r="J501" s="14">
        <v>1</v>
      </c>
      <c r="K501" s="14">
        <v>0</v>
      </c>
      <c r="L501" s="14">
        <v>1</v>
      </c>
      <c r="M501" s="15">
        <v>214.91900000000001</v>
      </c>
      <c r="N501" s="16" t="str">
        <f t="shared" si="21"/>
        <v>SW</v>
      </c>
      <c r="O501" s="17">
        <v>7.2</v>
      </c>
      <c r="P501" s="16" t="s">
        <v>137</v>
      </c>
      <c r="Q501" s="18">
        <v>0.2</v>
      </c>
      <c r="R501" s="19">
        <v>12.76</v>
      </c>
      <c r="S501" s="19">
        <v>9.6</v>
      </c>
      <c r="T501" s="19">
        <v>16.5</v>
      </c>
      <c r="U501" s="20">
        <v>211.57</v>
      </c>
      <c r="V501" s="16" t="s">
        <v>5</v>
      </c>
      <c r="W501" s="21">
        <v>0</v>
      </c>
      <c r="X501" s="21">
        <v>0</v>
      </c>
      <c r="Y501" s="21">
        <v>0</v>
      </c>
      <c r="Z501" s="21">
        <v>0</v>
      </c>
      <c r="AA501" s="21">
        <v>0.38</v>
      </c>
      <c r="AB501" s="21">
        <v>0.62</v>
      </c>
      <c r="AC501" s="21">
        <v>0</v>
      </c>
      <c r="AD501" s="21">
        <v>0</v>
      </c>
      <c r="AE501" s="21">
        <v>6.22</v>
      </c>
      <c r="AF501" s="21">
        <v>5.75</v>
      </c>
      <c r="AG501" s="21">
        <v>10.8</v>
      </c>
      <c r="AH501" s="18" t="s">
        <v>36</v>
      </c>
      <c r="AI501" s="13" t="str">
        <f>VLOOKUP(AH501,'Hess and Brezowsky'!$B$2:$G$31,2,FALSE)</f>
        <v>Meridional</v>
      </c>
      <c r="AJ501" s="18" t="str">
        <f>VLOOKUP(AH501,'Hess and Brezowsky'!$B$2:$G$31,3,FALSE)</f>
        <v>C</v>
      </c>
      <c r="AK501" s="13" t="str">
        <f>VLOOKUP(AH501,'Hess and Brezowsky'!$B$2:$G$31,4,FALSE)</f>
        <v>Low over the British Isles</v>
      </c>
      <c r="AL501" s="29">
        <v>0.26526620370370368</v>
      </c>
      <c r="AM501" s="29">
        <v>0.48353009259259261</v>
      </c>
      <c r="AN501" s="30">
        <v>0.70178240740740738</v>
      </c>
    </row>
    <row r="502" spans="1:40" ht="15.75" customHeight="1" x14ac:dyDescent="0.2">
      <c r="A502" s="27">
        <v>45222</v>
      </c>
      <c r="B502" s="13">
        <v>2023</v>
      </c>
      <c r="C502" s="13">
        <v>296</v>
      </c>
      <c r="D502" s="13">
        <f t="shared" si="20"/>
        <v>2</v>
      </c>
      <c r="E502" s="13"/>
      <c r="F502" s="13">
        <f t="shared" ref="F502:F565" si="22">IF(G502 &gt; 0.5,1,0)+IF(H502 &gt; 0.5,1,0)+IF(I502 &gt; 0.5,1,0)+IF(J502 &gt; 0.5,1,0)+IF(K502 &gt; 0.5,1,0)+IF(L503 &gt; 0.5,1,0)</f>
        <v>5</v>
      </c>
      <c r="G502" s="14">
        <v>1</v>
      </c>
      <c r="H502" s="14">
        <v>1</v>
      </c>
      <c r="I502" s="14">
        <v>1</v>
      </c>
      <c r="J502" s="14">
        <v>1</v>
      </c>
      <c r="K502" s="14">
        <v>0</v>
      </c>
      <c r="L502" s="14">
        <v>1</v>
      </c>
      <c r="M502" s="15">
        <v>139.07900000000001</v>
      </c>
      <c r="N502" s="16" t="str">
        <f t="shared" si="21"/>
        <v>SE</v>
      </c>
      <c r="O502" s="17">
        <v>7.8</v>
      </c>
      <c r="P502" s="16" t="s">
        <v>140</v>
      </c>
      <c r="Q502" s="18">
        <v>6.5</v>
      </c>
      <c r="R502" s="19">
        <v>10.79</v>
      </c>
      <c r="S502" s="19">
        <v>8.5</v>
      </c>
      <c r="T502" s="19">
        <v>12.1</v>
      </c>
      <c r="U502" s="20">
        <v>138.19999999999999</v>
      </c>
      <c r="V502" s="16" t="s">
        <v>11</v>
      </c>
      <c r="W502" s="21">
        <v>0</v>
      </c>
      <c r="X502" s="21">
        <v>0</v>
      </c>
      <c r="Y502" s="21">
        <v>0.17</v>
      </c>
      <c r="Z502" s="21">
        <v>0.5</v>
      </c>
      <c r="AA502" s="21">
        <v>0</v>
      </c>
      <c r="AB502" s="21">
        <v>0.33</v>
      </c>
      <c r="AC502" s="21">
        <v>0</v>
      </c>
      <c r="AD502" s="21">
        <v>0</v>
      </c>
      <c r="AE502" s="21">
        <v>7.86</v>
      </c>
      <c r="AF502" s="21">
        <v>5.83</v>
      </c>
      <c r="AG502" s="21">
        <v>13.9</v>
      </c>
      <c r="AH502" s="18" t="s">
        <v>36</v>
      </c>
      <c r="AI502" s="13" t="str">
        <f>VLOOKUP(AH502,'Hess and Brezowsky'!$B$2:$G$31,2,FALSE)</f>
        <v>Meridional</v>
      </c>
      <c r="AJ502" s="18" t="str">
        <f>VLOOKUP(AH502,'Hess and Brezowsky'!$B$2:$G$31,3,FALSE)</f>
        <v>C</v>
      </c>
      <c r="AK502" s="13" t="str">
        <f>VLOOKUP(AH502,'Hess and Brezowsky'!$B$2:$G$31,4,FALSE)</f>
        <v>Low over the British Isles</v>
      </c>
      <c r="AL502" s="29">
        <v>0.26635416666666667</v>
      </c>
      <c r="AM502" s="29">
        <v>0.48342592592592593</v>
      </c>
      <c r="AN502" s="30">
        <v>0.70049768518518518</v>
      </c>
    </row>
    <row r="503" spans="1:40" ht="15.75" customHeight="1" x14ac:dyDescent="0.2">
      <c r="A503" s="27">
        <v>45223</v>
      </c>
      <c r="B503" s="13">
        <v>2023</v>
      </c>
      <c r="C503" s="13">
        <v>297</v>
      </c>
      <c r="D503" s="13">
        <f t="shared" si="20"/>
        <v>3</v>
      </c>
      <c r="E503" s="13"/>
      <c r="F503" s="13">
        <f t="shared" si="22"/>
        <v>5</v>
      </c>
      <c r="G503" s="14">
        <v>1</v>
      </c>
      <c r="H503" s="14">
        <v>1</v>
      </c>
      <c r="I503" s="14">
        <v>1</v>
      </c>
      <c r="J503" s="14">
        <v>1</v>
      </c>
      <c r="K503" s="14">
        <v>0</v>
      </c>
      <c r="L503" s="14">
        <v>1</v>
      </c>
      <c r="M503" s="15">
        <v>208.54499999999999</v>
      </c>
      <c r="N503" s="16" t="str">
        <f t="shared" si="21"/>
        <v>SW</v>
      </c>
      <c r="O503" s="17">
        <v>7.6</v>
      </c>
      <c r="P503" s="16" t="s">
        <v>137</v>
      </c>
      <c r="Q503" s="18">
        <v>1.2</v>
      </c>
      <c r="R503" s="19">
        <v>12.94</v>
      </c>
      <c r="S503" s="19">
        <v>11.2</v>
      </c>
      <c r="T503" s="19">
        <v>16.8</v>
      </c>
      <c r="U503" s="20">
        <v>206.35</v>
      </c>
      <c r="V503" s="16" t="s">
        <v>5</v>
      </c>
      <c r="W503" s="21">
        <v>0</v>
      </c>
      <c r="X503" s="21">
        <v>0</v>
      </c>
      <c r="Y503" s="21">
        <v>0</v>
      </c>
      <c r="Z503" s="21">
        <v>0</v>
      </c>
      <c r="AA503" s="21">
        <v>0.38</v>
      </c>
      <c r="AB503" s="21">
        <v>0.46</v>
      </c>
      <c r="AC503" s="21">
        <v>0.17</v>
      </c>
      <c r="AD503" s="21">
        <v>0</v>
      </c>
      <c r="AE503" s="21">
        <v>7.75</v>
      </c>
      <c r="AF503" s="21">
        <v>6.54</v>
      </c>
      <c r="AG503" s="21">
        <v>14.8</v>
      </c>
      <c r="AH503" s="18" t="s">
        <v>36</v>
      </c>
      <c r="AI503" s="13" t="str">
        <f>VLOOKUP(AH503,'Hess and Brezowsky'!$B$2:$G$31,2,FALSE)</f>
        <v>Meridional</v>
      </c>
      <c r="AJ503" s="18" t="str">
        <f>VLOOKUP(AH503,'Hess and Brezowsky'!$B$2:$G$31,3,FALSE)</f>
        <v>C</v>
      </c>
      <c r="AK503" s="13" t="str">
        <f>VLOOKUP(AH503,'Hess and Brezowsky'!$B$2:$G$31,4,FALSE)</f>
        <v>Low over the British Isles</v>
      </c>
      <c r="AL503" s="29">
        <v>0.26744212962962965</v>
      </c>
      <c r="AM503" s="29">
        <v>0.48333333333333334</v>
      </c>
      <c r="AN503" s="30">
        <v>0.69922453703703702</v>
      </c>
    </row>
    <row r="504" spans="1:40" ht="15.75" customHeight="1" x14ac:dyDescent="0.2">
      <c r="A504" s="27">
        <v>45224</v>
      </c>
      <c r="B504" s="13">
        <v>2023</v>
      </c>
      <c r="C504" s="13">
        <v>298</v>
      </c>
      <c r="D504" s="13">
        <f t="shared" si="20"/>
        <v>4</v>
      </c>
      <c r="E504" s="13"/>
      <c r="F504" s="13">
        <f t="shared" si="22"/>
        <v>5</v>
      </c>
      <c r="G504" s="14">
        <v>1</v>
      </c>
      <c r="H504" s="14">
        <v>1</v>
      </c>
      <c r="I504" s="14">
        <v>1</v>
      </c>
      <c r="J504" s="14">
        <v>1</v>
      </c>
      <c r="K504" s="14">
        <v>0</v>
      </c>
      <c r="L504" s="14">
        <v>1</v>
      </c>
      <c r="M504" s="15">
        <v>228.75800000000001</v>
      </c>
      <c r="N504" s="16" t="str">
        <f t="shared" si="21"/>
        <v>SW</v>
      </c>
      <c r="O504" s="17">
        <v>9.3000000000000007</v>
      </c>
      <c r="P504" s="16" t="s">
        <v>137</v>
      </c>
      <c r="Q504" s="18">
        <v>8.6</v>
      </c>
      <c r="R504" s="19">
        <v>12.99</v>
      </c>
      <c r="S504" s="19">
        <v>10.4</v>
      </c>
      <c r="T504" s="19">
        <v>15.2</v>
      </c>
      <c r="U504" s="20">
        <v>227.3</v>
      </c>
      <c r="V504" s="16" t="s">
        <v>5</v>
      </c>
      <c r="W504" s="21">
        <v>0</v>
      </c>
      <c r="X504" s="21">
        <v>0</v>
      </c>
      <c r="Y504" s="21">
        <v>0</v>
      </c>
      <c r="Z504" s="21">
        <v>0.04</v>
      </c>
      <c r="AA504" s="21">
        <v>0.21</v>
      </c>
      <c r="AB504" s="21">
        <v>0.25</v>
      </c>
      <c r="AC504" s="21">
        <v>0.5</v>
      </c>
      <c r="AD504" s="21">
        <v>0</v>
      </c>
      <c r="AE504" s="21">
        <v>10.57</v>
      </c>
      <c r="AF504" s="21">
        <v>7.93</v>
      </c>
      <c r="AG504" s="21">
        <v>18.399999999999999</v>
      </c>
      <c r="AH504" s="18" t="s">
        <v>36</v>
      </c>
      <c r="AI504" s="13" t="str">
        <f>VLOOKUP(AH504,'Hess and Brezowsky'!$B$2:$G$31,2,FALSE)</f>
        <v>Meridional</v>
      </c>
      <c r="AJ504" s="18" t="str">
        <f>VLOOKUP(AH504,'Hess and Brezowsky'!$B$2:$G$31,3,FALSE)</f>
        <v>C</v>
      </c>
      <c r="AK504" s="13" t="str">
        <f>VLOOKUP(AH504,'Hess and Brezowsky'!$B$2:$G$31,4,FALSE)</f>
        <v>Low over the British Isles</v>
      </c>
      <c r="AL504" s="29">
        <v>0.26854166666666668</v>
      </c>
      <c r="AM504" s="29">
        <v>0.48325231481481479</v>
      </c>
      <c r="AN504" s="30">
        <v>0.69796296296296301</v>
      </c>
    </row>
    <row r="505" spans="1:40" ht="15.75" customHeight="1" x14ac:dyDescent="0.2">
      <c r="A505" s="27">
        <v>45225</v>
      </c>
      <c r="B505" s="13">
        <v>2023</v>
      </c>
      <c r="C505" s="13">
        <v>299</v>
      </c>
      <c r="D505" s="13">
        <f t="shared" si="20"/>
        <v>5</v>
      </c>
      <c r="E505" s="13"/>
      <c r="F505" s="13">
        <f t="shared" si="22"/>
        <v>5</v>
      </c>
      <c r="G505" s="14">
        <v>1</v>
      </c>
      <c r="H505" s="14">
        <v>1</v>
      </c>
      <c r="I505" s="14">
        <v>1</v>
      </c>
      <c r="J505" s="14">
        <v>1</v>
      </c>
      <c r="K505" s="14">
        <v>0</v>
      </c>
      <c r="L505" s="14">
        <v>1</v>
      </c>
      <c r="M505" s="15">
        <v>221.43100000000001</v>
      </c>
      <c r="N505" s="16" t="str">
        <f t="shared" si="21"/>
        <v>SW</v>
      </c>
      <c r="O505" s="17">
        <v>7.8</v>
      </c>
      <c r="P505" s="16" t="s">
        <v>140</v>
      </c>
      <c r="Q505" s="18">
        <v>21.8</v>
      </c>
      <c r="R505" s="19">
        <v>13.15</v>
      </c>
      <c r="S505" s="19">
        <v>10.7</v>
      </c>
      <c r="T505" s="19">
        <v>15.3</v>
      </c>
      <c r="U505" s="20">
        <v>224.93</v>
      </c>
      <c r="V505" s="16" t="s">
        <v>5</v>
      </c>
      <c r="W505" s="21">
        <v>0</v>
      </c>
      <c r="X505" s="21">
        <v>0</v>
      </c>
      <c r="Y505" s="21">
        <v>0</v>
      </c>
      <c r="Z505" s="21">
        <v>0</v>
      </c>
      <c r="AA505" s="21">
        <v>0.46</v>
      </c>
      <c r="AB505" s="21">
        <v>0.28999999999999998</v>
      </c>
      <c r="AC505" s="21">
        <v>0.25</v>
      </c>
      <c r="AD505" s="21">
        <v>0</v>
      </c>
      <c r="AE505" s="21">
        <v>8.48</v>
      </c>
      <c r="AF505" s="21">
        <v>7.06</v>
      </c>
      <c r="AG505" s="21">
        <v>15.6</v>
      </c>
      <c r="AH505" s="18" t="s">
        <v>47</v>
      </c>
      <c r="AI505" s="13" t="str">
        <f>VLOOKUP(AH505,'Hess and Brezowsky'!$B$2:$G$31,2,FALSE)</f>
        <v>Zonal</v>
      </c>
      <c r="AJ505" s="18" t="str">
        <f>VLOOKUP(AH505,'Hess and Brezowsky'!$B$2:$G$31,3,FALSE)</f>
        <v>M</v>
      </c>
      <c r="AK505" s="13" t="str">
        <f>VLOOKUP(AH505,'Hess and Brezowsky'!$B$2:$G$31,4,FALSE)</f>
        <v>South-Shifted Westerly</v>
      </c>
      <c r="AL505" s="29">
        <v>0.2696412037037037</v>
      </c>
      <c r="AM505" s="29">
        <v>0.48318287037037039</v>
      </c>
      <c r="AN505" s="30">
        <v>0.69672453703703707</v>
      </c>
    </row>
    <row r="506" spans="1:40" ht="15.75" customHeight="1" x14ac:dyDescent="0.2">
      <c r="A506" s="27">
        <v>45226</v>
      </c>
      <c r="B506" s="13">
        <v>2023</v>
      </c>
      <c r="C506" s="13">
        <v>300</v>
      </c>
      <c r="D506" s="13">
        <f t="shared" si="20"/>
        <v>6</v>
      </c>
      <c r="E506" s="13"/>
      <c r="F506" s="13">
        <f t="shared" si="22"/>
        <v>4</v>
      </c>
      <c r="G506" s="14">
        <v>1</v>
      </c>
      <c r="H506" s="14">
        <v>1</v>
      </c>
      <c r="I506" s="14">
        <v>0.37</v>
      </c>
      <c r="J506" s="14">
        <v>1</v>
      </c>
      <c r="K506" s="14">
        <v>0</v>
      </c>
      <c r="L506" s="14">
        <v>1</v>
      </c>
      <c r="M506" s="15">
        <v>228.38200000000001</v>
      </c>
      <c r="N506" s="16" t="str">
        <f t="shared" si="21"/>
        <v>SW</v>
      </c>
      <c r="O506" s="17">
        <v>9.4</v>
      </c>
      <c r="P506" s="16" t="s">
        <v>137</v>
      </c>
      <c r="Q506" s="18">
        <v>1.6</v>
      </c>
      <c r="R506" s="19">
        <v>12.23</v>
      </c>
      <c r="S506" s="19">
        <v>10.199999999999999</v>
      </c>
      <c r="T506" s="19">
        <v>15.3</v>
      </c>
      <c r="U506" s="20">
        <v>229.66</v>
      </c>
      <c r="V506" s="16" t="s">
        <v>5</v>
      </c>
      <c r="W506" s="21">
        <v>0</v>
      </c>
      <c r="X506" s="21">
        <v>0</v>
      </c>
      <c r="Y506" s="21">
        <v>0</v>
      </c>
      <c r="Z506" s="21">
        <v>0</v>
      </c>
      <c r="AA506" s="21">
        <v>0</v>
      </c>
      <c r="AB506" s="21">
        <v>0.88</v>
      </c>
      <c r="AC506" s="21">
        <v>0.12</v>
      </c>
      <c r="AD506" s="21">
        <v>0</v>
      </c>
      <c r="AE506" s="21">
        <v>9.31</v>
      </c>
      <c r="AF506" s="21">
        <v>8.9700000000000006</v>
      </c>
      <c r="AG506" s="21">
        <v>15.5</v>
      </c>
      <c r="AH506" s="18" t="s">
        <v>47</v>
      </c>
      <c r="AI506" s="13" t="str">
        <f>VLOOKUP(AH506,'Hess and Brezowsky'!$B$2:$G$31,2,FALSE)</f>
        <v>Zonal</v>
      </c>
      <c r="AJ506" s="18" t="str">
        <f>VLOOKUP(AH506,'Hess and Brezowsky'!$B$2:$G$31,3,FALSE)</f>
        <v>M</v>
      </c>
      <c r="AK506" s="13" t="str">
        <f>VLOOKUP(AH506,'Hess and Brezowsky'!$B$2:$G$31,4,FALSE)</f>
        <v>South-Shifted Westerly</v>
      </c>
      <c r="AL506" s="29">
        <v>0.27074074074074073</v>
      </c>
      <c r="AM506" s="29">
        <v>0.48311342592592593</v>
      </c>
      <c r="AN506" s="30">
        <v>0.69548611111111114</v>
      </c>
    </row>
    <row r="507" spans="1:40" ht="15.75" customHeight="1" x14ac:dyDescent="0.2">
      <c r="A507" s="27">
        <v>45227</v>
      </c>
      <c r="B507" s="13">
        <v>2023</v>
      </c>
      <c r="C507" s="13">
        <v>301</v>
      </c>
      <c r="D507" s="13">
        <f t="shared" si="20"/>
        <v>7</v>
      </c>
      <c r="E507" s="13"/>
      <c r="F507" s="13">
        <f t="shared" si="22"/>
        <v>4</v>
      </c>
      <c r="G507" s="14">
        <v>1</v>
      </c>
      <c r="H507" s="14">
        <v>1</v>
      </c>
      <c r="I507" s="14">
        <v>0</v>
      </c>
      <c r="J507" s="14">
        <v>1</v>
      </c>
      <c r="K507" s="14">
        <v>0</v>
      </c>
      <c r="L507" s="14">
        <v>1</v>
      </c>
      <c r="M507" s="15">
        <v>200.27699999999999</v>
      </c>
      <c r="N507" s="16" t="str">
        <f t="shared" si="21"/>
        <v>S</v>
      </c>
      <c r="O507" s="17">
        <v>12.7</v>
      </c>
      <c r="P507" s="16" t="s">
        <v>137</v>
      </c>
      <c r="Q507" s="18">
        <v>9.1999999999999993</v>
      </c>
      <c r="R507" s="19">
        <v>12.8</v>
      </c>
      <c r="S507" s="19">
        <v>11.4</v>
      </c>
      <c r="T507" s="19">
        <v>14.7</v>
      </c>
      <c r="U507" s="20">
        <v>196.79</v>
      </c>
      <c r="V507" s="16" t="s">
        <v>13</v>
      </c>
      <c r="W507" s="21">
        <v>0</v>
      </c>
      <c r="X507" s="21">
        <v>0</v>
      </c>
      <c r="Y507" s="21">
        <v>0</v>
      </c>
      <c r="Z507" s="21">
        <v>0</v>
      </c>
      <c r="AA507" s="21">
        <v>0.71</v>
      </c>
      <c r="AB507" s="21">
        <v>0.28999999999999998</v>
      </c>
      <c r="AC507" s="21">
        <v>0</v>
      </c>
      <c r="AD507" s="21">
        <v>0</v>
      </c>
      <c r="AE507" s="21">
        <v>12.3</v>
      </c>
      <c r="AF507" s="21">
        <v>12.16</v>
      </c>
      <c r="AG507" s="21">
        <v>21</v>
      </c>
      <c r="AH507" s="18" t="s">
        <v>47</v>
      </c>
      <c r="AI507" s="13" t="str">
        <f>VLOOKUP(AH507,'Hess and Brezowsky'!$B$2:$G$31,2,FALSE)</f>
        <v>Zonal</v>
      </c>
      <c r="AJ507" s="18" t="str">
        <f>VLOOKUP(AH507,'Hess and Brezowsky'!$B$2:$G$31,3,FALSE)</f>
        <v>M</v>
      </c>
      <c r="AK507" s="13" t="str">
        <f>VLOOKUP(AH507,'Hess and Brezowsky'!$B$2:$G$31,4,FALSE)</f>
        <v>South-Shifted Westerly</v>
      </c>
      <c r="AL507" s="29">
        <v>0.27184027777777775</v>
      </c>
      <c r="AM507" s="29">
        <v>0.48305555555555557</v>
      </c>
      <c r="AN507" s="30">
        <v>0.69427083333333328</v>
      </c>
    </row>
    <row r="508" spans="1:40" ht="15.75" customHeight="1" x14ac:dyDescent="0.2">
      <c r="A508" s="27">
        <v>45228</v>
      </c>
      <c r="B508" s="13">
        <v>2023</v>
      </c>
      <c r="C508" s="13">
        <v>302</v>
      </c>
      <c r="D508" s="13">
        <f t="shared" si="20"/>
        <v>1</v>
      </c>
      <c r="E508" s="13"/>
      <c r="F508" s="13">
        <f t="shared" si="22"/>
        <v>5</v>
      </c>
      <c r="G508" s="14">
        <v>1</v>
      </c>
      <c r="H508" s="14">
        <v>1</v>
      </c>
      <c r="I508" s="14">
        <v>0.57999999999999996</v>
      </c>
      <c r="J508" s="14">
        <v>1</v>
      </c>
      <c r="K508" s="14">
        <v>0</v>
      </c>
      <c r="L508" s="14">
        <v>1</v>
      </c>
      <c r="M508" s="15">
        <v>210.33799999999999</v>
      </c>
      <c r="N508" s="16" t="str">
        <f t="shared" si="21"/>
        <v>SW</v>
      </c>
      <c r="O508" s="17">
        <v>12.1</v>
      </c>
      <c r="P508" s="16" t="s">
        <v>137</v>
      </c>
      <c r="Q508" s="18">
        <v>2.8</v>
      </c>
      <c r="R508" s="19">
        <v>13.46</v>
      </c>
      <c r="S508" s="19">
        <v>11.5</v>
      </c>
      <c r="T508" s="19">
        <v>16.899999999999999</v>
      </c>
      <c r="U508" s="20">
        <v>208.85</v>
      </c>
      <c r="V508" s="16" t="s">
        <v>5</v>
      </c>
      <c r="W508" s="21">
        <v>0</v>
      </c>
      <c r="X508" s="21">
        <v>0</v>
      </c>
      <c r="Y508" s="21">
        <v>0</v>
      </c>
      <c r="Z508" s="21">
        <v>0</v>
      </c>
      <c r="AA508" s="21">
        <v>0.38</v>
      </c>
      <c r="AB508" s="21">
        <v>0.62</v>
      </c>
      <c r="AC508" s="21">
        <v>0</v>
      </c>
      <c r="AD508" s="21">
        <v>0</v>
      </c>
      <c r="AE508" s="21">
        <v>11.28</v>
      </c>
      <c r="AF508" s="21">
        <v>11.01</v>
      </c>
      <c r="AG508" s="21">
        <v>18.5</v>
      </c>
      <c r="AH508" s="18" t="s">
        <v>12</v>
      </c>
      <c r="AI508" s="13" t="str">
        <f>VLOOKUP(AH508,'Hess and Brezowsky'!$B$2:$G$31,2,FALSE)</f>
        <v>Undefined</v>
      </c>
      <c r="AJ508" s="18" t="str">
        <f>VLOOKUP(AH508,'Hess and Brezowsky'!$B$2:$G$31,3,FALSE)</f>
        <v>M</v>
      </c>
      <c r="AK508" s="13" t="str">
        <f>VLOOKUP(AH508,'Hess and Brezowsky'!$B$2:$G$31,4,FALSE)</f>
        <v>Transistion / Undefined</v>
      </c>
      <c r="AL508" s="29">
        <v>0.27293981481481483</v>
      </c>
      <c r="AM508" s="29">
        <v>0.48300925925925925</v>
      </c>
      <c r="AN508" s="30">
        <v>0.69307870370370372</v>
      </c>
    </row>
    <row r="509" spans="1:40" ht="15.75" customHeight="1" x14ac:dyDescent="0.2">
      <c r="A509" s="27">
        <v>45229</v>
      </c>
      <c r="B509" s="13">
        <v>2023</v>
      </c>
      <c r="C509" s="13">
        <v>303</v>
      </c>
      <c r="D509" s="13">
        <f t="shared" si="20"/>
        <v>2</v>
      </c>
      <c r="E509" s="13"/>
      <c r="F509" s="13">
        <f t="shared" si="22"/>
        <v>5</v>
      </c>
      <c r="G509" s="14">
        <v>1</v>
      </c>
      <c r="H509" s="14">
        <v>1</v>
      </c>
      <c r="I509" s="14">
        <v>1</v>
      </c>
      <c r="J509" s="14">
        <v>1</v>
      </c>
      <c r="K509" s="14">
        <v>0</v>
      </c>
      <c r="L509" s="14">
        <v>1</v>
      </c>
      <c r="M509" s="15">
        <v>215.89</v>
      </c>
      <c r="N509" s="16" t="str">
        <f t="shared" si="21"/>
        <v>SW</v>
      </c>
      <c r="O509" s="17">
        <v>7.2</v>
      </c>
      <c r="P509" s="16" t="s">
        <v>140</v>
      </c>
      <c r="Q509" s="18">
        <v>7.9</v>
      </c>
      <c r="R509" s="19">
        <v>11.3</v>
      </c>
      <c r="S509" s="19">
        <v>9.6</v>
      </c>
      <c r="T509" s="19">
        <v>13.5</v>
      </c>
      <c r="U509" s="20">
        <v>219.85</v>
      </c>
      <c r="V509" s="16" t="s">
        <v>5</v>
      </c>
      <c r="W509" s="21">
        <v>0</v>
      </c>
      <c r="X509" s="21">
        <v>0</v>
      </c>
      <c r="Y509" s="21">
        <v>0.04</v>
      </c>
      <c r="Z509" s="21">
        <v>0.08</v>
      </c>
      <c r="AA509" s="21">
        <v>0.38</v>
      </c>
      <c r="AB509" s="21">
        <v>0.38</v>
      </c>
      <c r="AC509" s="21">
        <v>0.12</v>
      </c>
      <c r="AD509" s="21">
        <v>0</v>
      </c>
      <c r="AE509" s="21">
        <v>7.49</v>
      </c>
      <c r="AF509" s="21">
        <v>6.26</v>
      </c>
      <c r="AG509" s="21">
        <v>15.6</v>
      </c>
      <c r="AH509" s="18" t="s">
        <v>36</v>
      </c>
      <c r="AI509" s="13" t="str">
        <f>VLOOKUP(AH509,'Hess and Brezowsky'!$B$2:$G$31,2,FALSE)</f>
        <v>Meridional</v>
      </c>
      <c r="AJ509" s="18" t="str">
        <f>VLOOKUP(AH509,'Hess and Brezowsky'!$B$2:$G$31,3,FALSE)</f>
        <v>C</v>
      </c>
      <c r="AK509" s="13" t="str">
        <f>VLOOKUP(AH509,'Hess and Brezowsky'!$B$2:$G$31,4,FALSE)</f>
        <v>Low over the British Isles</v>
      </c>
      <c r="AL509" s="29">
        <v>0.27405092592592595</v>
      </c>
      <c r="AM509" s="29">
        <v>0.48297453703703702</v>
      </c>
      <c r="AN509" s="30">
        <v>0.6918981481481481</v>
      </c>
    </row>
    <row r="510" spans="1:40" ht="15.75" customHeight="1" x14ac:dyDescent="0.2">
      <c r="A510" s="27">
        <v>45230</v>
      </c>
      <c r="B510" s="13">
        <v>2023</v>
      </c>
      <c r="C510" s="13">
        <v>304</v>
      </c>
      <c r="D510" s="13">
        <f t="shared" si="20"/>
        <v>3</v>
      </c>
      <c r="E510" s="13"/>
      <c r="F510" s="13">
        <f t="shared" si="22"/>
        <v>5</v>
      </c>
      <c r="G510" s="14">
        <v>1</v>
      </c>
      <c r="H510" s="14">
        <v>1</v>
      </c>
      <c r="I510" s="14">
        <v>1</v>
      </c>
      <c r="J510" s="14">
        <v>0.95</v>
      </c>
      <c r="K510" s="14">
        <v>0</v>
      </c>
      <c r="L510" s="14">
        <v>1</v>
      </c>
      <c r="M510" s="15">
        <v>224.06700000000001</v>
      </c>
      <c r="N510" s="16" t="str">
        <f t="shared" si="21"/>
        <v>SW</v>
      </c>
      <c r="O510" s="17">
        <v>8.6</v>
      </c>
      <c r="P510" s="16" t="s">
        <v>137</v>
      </c>
      <c r="Q510" s="18">
        <v>0.2</v>
      </c>
      <c r="R510" s="19">
        <v>12.26</v>
      </c>
      <c r="S510" s="19">
        <v>8.4</v>
      </c>
      <c r="T510" s="19">
        <v>15.7</v>
      </c>
      <c r="U510" s="20">
        <v>223.83</v>
      </c>
      <c r="V510" s="16" t="s">
        <v>5</v>
      </c>
      <c r="W510" s="21">
        <v>0</v>
      </c>
      <c r="X510" s="21">
        <v>0</v>
      </c>
      <c r="Y510" s="21">
        <v>0</v>
      </c>
      <c r="Z510" s="21">
        <v>0</v>
      </c>
      <c r="AA510" s="21">
        <v>0</v>
      </c>
      <c r="AB510" s="21">
        <v>0.96</v>
      </c>
      <c r="AC510" s="21">
        <v>0.04</v>
      </c>
      <c r="AD510" s="21">
        <v>0</v>
      </c>
      <c r="AE510" s="21">
        <v>7.78</v>
      </c>
      <c r="AF510" s="21">
        <v>7.54</v>
      </c>
      <c r="AG510" s="21">
        <v>12.8</v>
      </c>
      <c r="AH510" s="18" t="s">
        <v>36</v>
      </c>
      <c r="AI510" s="13" t="str">
        <f>VLOOKUP(AH510,'Hess and Brezowsky'!$B$2:$G$31,2,FALSE)</f>
        <v>Meridional</v>
      </c>
      <c r="AJ510" s="18" t="str">
        <f>VLOOKUP(AH510,'Hess and Brezowsky'!$B$2:$G$31,3,FALSE)</f>
        <v>C</v>
      </c>
      <c r="AK510" s="13" t="str">
        <f>VLOOKUP(AH510,'Hess and Brezowsky'!$B$2:$G$31,4,FALSE)</f>
        <v>Low over the British Isles</v>
      </c>
      <c r="AL510" s="29">
        <v>0.27516203703703701</v>
      </c>
      <c r="AM510" s="29">
        <v>0.48295138888888889</v>
      </c>
      <c r="AN510" s="30">
        <v>0.69072916666666662</v>
      </c>
    </row>
    <row r="511" spans="1:40" ht="15.75" customHeight="1" x14ac:dyDescent="0.2">
      <c r="A511" s="27">
        <v>45231</v>
      </c>
      <c r="B511" s="13">
        <v>2023</v>
      </c>
      <c r="C511" s="13">
        <v>305</v>
      </c>
      <c r="D511" s="13">
        <f t="shared" si="20"/>
        <v>4</v>
      </c>
      <c r="E511" s="13"/>
      <c r="F511" s="13">
        <f t="shared" si="22"/>
        <v>5</v>
      </c>
      <c r="G511" s="14">
        <v>1</v>
      </c>
      <c r="H511" s="14">
        <v>1</v>
      </c>
      <c r="I511" s="14">
        <v>1</v>
      </c>
      <c r="J511" s="14">
        <v>1</v>
      </c>
      <c r="K511" s="14">
        <v>0</v>
      </c>
      <c r="L511" s="14">
        <v>1</v>
      </c>
      <c r="M511" s="15">
        <v>196.44900000000001</v>
      </c>
      <c r="N511" s="16" t="str">
        <f t="shared" si="21"/>
        <v>S</v>
      </c>
      <c r="O511" s="17">
        <v>12</v>
      </c>
      <c r="P511" s="16" t="s">
        <v>137</v>
      </c>
      <c r="Q511" s="18">
        <v>4</v>
      </c>
      <c r="R511" s="19">
        <v>12.32</v>
      </c>
      <c r="S511" s="19">
        <v>11.2</v>
      </c>
      <c r="T511" s="19">
        <v>14.2</v>
      </c>
      <c r="U511" s="20">
        <v>193.48</v>
      </c>
      <c r="V511" s="16" t="s">
        <v>13</v>
      </c>
      <c r="W511" s="21">
        <v>0</v>
      </c>
      <c r="X511" s="21">
        <v>0</v>
      </c>
      <c r="Y511" s="21">
        <v>0</v>
      </c>
      <c r="Z511" s="21">
        <v>0</v>
      </c>
      <c r="AA511" s="21">
        <v>0.75</v>
      </c>
      <c r="AB511" s="21">
        <v>0.25</v>
      </c>
      <c r="AC511" s="21">
        <v>0</v>
      </c>
      <c r="AD511" s="21">
        <v>0</v>
      </c>
      <c r="AE511" s="21">
        <v>11.95</v>
      </c>
      <c r="AF511" s="21">
        <v>11.73</v>
      </c>
      <c r="AG511" s="21">
        <v>19.2</v>
      </c>
      <c r="AH511" s="18" t="s">
        <v>36</v>
      </c>
      <c r="AI511" s="13" t="str">
        <f>VLOOKUP(AH511,'Hess and Brezowsky'!$B$2:$G$31,2,FALSE)</f>
        <v>Meridional</v>
      </c>
      <c r="AJ511" s="18" t="str">
        <f>VLOOKUP(AH511,'Hess and Brezowsky'!$B$2:$G$31,3,FALSE)</f>
        <v>C</v>
      </c>
      <c r="AK511" s="13" t="str">
        <f>VLOOKUP(AH511,'Hess and Brezowsky'!$B$2:$G$31,4,FALSE)</f>
        <v>Low over the British Isles</v>
      </c>
      <c r="AL511" s="29">
        <v>0.27627314814814813</v>
      </c>
      <c r="AM511" s="29">
        <v>0.48292824074074076</v>
      </c>
      <c r="AN511" s="30">
        <v>0.68958333333333333</v>
      </c>
    </row>
    <row r="512" spans="1:40" ht="15.75" customHeight="1" x14ac:dyDescent="0.2">
      <c r="A512" s="27">
        <v>45232</v>
      </c>
      <c r="B512" s="13">
        <v>2023</v>
      </c>
      <c r="C512" s="13">
        <v>306</v>
      </c>
      <c r="D512" s="13">
        <f t="shared" si="20"/>
        <v>5</v>
      </c>
      <c r="E512" s="13"/>
      <c r="F512" s="13">
        <f t="shared" si="22"/>
        <v>5</v>
      </c>
      <c r="G512" s="14">
        <v>1</v>
      </c>
      <c r="H512" s="14">
        <v>1</v>
      </c>
      <c r="I512" s="14">
        <v>1</v>
      </c>
      <c r="J512" s="14">
        <v>1</v>
      </c>
      <c r="K512" s="14">
        <v>0</v>
      </c>
      <c r="L512" s="14">
        <v>1</v>
      </c>
      <c r="M512" s="15">
        <v>215.38499999999999</v>
      </c>
      <c r="N512" s="16" t="str">
        <f t="shared" si="21"/>
        <v>SW</v>
      </c>
      <c r="O512" s="17">
        <v>17.2</v>
      </c>
      <c r="P512" s="16" t="s">
        <v>137</v>
      </c>
      <c r="Q512" s="18">
        <v>6.4</v>
      </c>
      <c r="R512" s="19">
        <v>11.56</v>
      </c>
      <c r="S512" s="19">
        <v>8.4</v>
      </c>
      <c r="T512" s="19">
        <v>14.4</v>
      </c>
      <c r="U512" s="20">
        <v>211.96</v>
      </c>
      <c r="V512" s="16" t="s">
        <v>5</v>
      </c>
      <c r="W512" s="21">
        <v>0</v>
      </c>
      <c r="X512" s="21">
        <v>0</v>
      </c>
      <c r="Y512" s="21">
        <v>0</v>
      </c>
      <c r="Z512" s="21">
        <v>0</v>
      </c>
      <c r="AA512" s="21">
        <v>0.21</v>
      </c>
      <c r="AB512" s="21">
        <v>0.79</v>
      </c>
      <c r="AC512" s="21">
        <v>0</v>
      </c>
      <c r="AD512" s="21">
        <v>0</v>
      </c>
      <c r="AE512" s="21">
        <v>17.36</v>
      </c>
      <c r="AF512" s="21">
        <v>15.99</v>
      </c>
      <c r="AG512" s="21">
        <v>30.2</v>
      </c>
      <c r="AH512" s="18" t="s">
        <v>36</v>
      </c>
      <c r="AI512" s="13" t="str">
        <f>VLOOKUP(AH512,'Hess and Brezowsky'!$B$2:$G$31,2,FALSE)</f>
        <v>Meridional</v>
      </c>
      <c r="AJ512" s="18" t="str">
        <f>VLOOKUP(AH512,'Hess and Brezowsky'!$B$2:$G$31,3,FALSE)</f>
        <v>C</v>
      </c>
      <c r="AK512" s="13" t="str">
        <f>VLOOKUP(AH512,'Hess and Brezowsky'!$B$2:$G$31,4,FALSE)</f>
        <v>Low over the British Isles</v>
      </c>
      <c r="AL512" s="29">
        <v>0.27738425925925925</v>
      </c>
      <c r="AM512" s="29">
        <v>0.48291666666666666</v>
      </c>
      <c r="AN512" s="30">
        <v>0.68844907407407407</v>
      </c>
    </row>
    <row r="513" spans="1:40" ht="15.75" customHeight="1" x14ac:dyDescent="0.2">
      <c r="A513" s="27">
        <v>45233</v>
      </c>
      <c r="B513" s="13">
        <v>2023</v>
      </c>
      <c r="C513" s="13">
        <v>307</v>
      </c>
      <c r="D513" s="13">
        <f t="shared" si="20"/>
        <v>6</v>
      </c>
      <c r="E513" s="13"/>
      <c r="F513" s="13">
        <f t="shared" si="22"/>
        <v>5</v>
      </c>
      <c r="G513" s="14">
        <v>1</v>
      </c>
      <c r="H513" s="14">
        <v>1</v>
      </c>
      <c r="I513" s="14">
        <v>1</v>
      </c>
      <c r="J513" s="14">
        <v>1</v>
      </c>
      <c r="K513" s="14">
        <v>0</v>
      </c>
      <c r="L513" s="14">
        <v>1</v>
      </c>
      <c r="M513" s="15">
        <v>219.96100000000001</v>
      </c>
      <c r="N513" s="16" t="str">
        <f t="shared" si="21"/>
        <v>SW</v>
      </c>
      <c r="O513" s="17">
        <v>9.6</v>
      </c>
      <c r="P513" s="16" t="s">
        <v>137</v>
      </c>
      <c r="Q513" s="18">
        <v>0.2</v>
      </c>
      <c r="R513" s="19">
        <v>8.26</v>
      </c>
      <c r="S513" s="19">
        <v>5.9</v>
      </c>
      <c r="T513" s="19">
        <v>10.5</v>
      </c>
      <c r="U513" s="20">
        <v>223.11</v>
      </c>
      <c r="V513" s="16" t="s">
        <v>5</v>
      </c>
      <c r="W513" s="21">
        <v>0</v>
      </c>
      <c r="X513" s="21">
        <v>0</v>
      </c>
      <c r="Y513" s="21">
        <v>0</v>
      </c>
      <c r="Z513" s="21">
        <v>0</v>
      </c>
      <c r="AA513" s="21">
        <v>0.25</v>
      </c>
      <c r="AB513" s="21">
        <v>0.75</v>
      </c>
      <c r="AC513" s="21">
        <v>0</v>
      </c>
      <c r="AD513" s="21">
        <v>0</v>
      </c>
      <c r="AE513" s="21">
        <v>9.7200000000000006</v>
      </c>
      <c r="AF513" s="21">
        <v>9.39</v>
      </c>
      <c r="AG513" s="21">
        <v>14.6</v>
      </c>
      <c r="AH513" s="18" t="s">
        <v>36</v>
      </c>
      <c r="AI513" s="13" t="str">
        <f>VLOOKUP(AH513,'Hess and Brezowsky'!$B$2:$G$31,2,FALSE)</f>
        <v>Meridional</v>
      </c>
      <c r="AJ513" s="18" t="str">
        <f>VLOOKUP(AH513,'Hess and Brezowsky'!$B$2:$G$31,3,FALSE)</f>
        <v>C</v>
      </c>
      <c r="AK513" s="13" t="str">
        <f>VLOOKUP(AH513,'Hess and Brezowsky'!$B$2:$G$31,4,FALSE)</f>
        <v>Low over the British Isles</v>
      </c>
      <c r="AL513" s="29">
        <v>0.27849537037037037</v>
      </c>
      <c r="AM513" s="29">
        <v>0.48291666666666666</v>
      </c>
      <c r="AN513" s="30">
        <v>0.68733796296296301</v>
      </c>
    </row>
    <row r="514" spans="1:40" ht="15.75" customHeight="1" x14ac:dyDescent="0.2">
      <c r="A514" s="27">
        <v>45234</v>
      </c>
      <c r="B514" s="13">
        <v>2023</v>
      </c>
      <c r="C514" s="13">
        <v>308</v>
      </c>
      <c r="D514" s="13">
        <f t="shared" ref="D514:D577" si="23">WEEKDAY(A514)</f>
        <v>7</v>
      </c>
      <c r="E514" s="13"/>
      <c r="F514" s="13">
        <f t="shared" si="22"/>
        <v>5</v>
      </c>
      <c r="G514" s="14">
        <v>1</v>
      </c>
      <c r="H514" s="14">
        <v>1</v>
      </c>
      <c r="I514" s="14">
        <v>1</v>
      </c>
      <c r="J514" s="14">
        <v>1</v>
      </c>
      <c r="K514" s="14">
        <v>0</v>
      </c>
      <c r="L514" s="14">
        <v>1</v>
      </c>
      <c r="M514" s="15">
        <v>201.178</v>
      </c>
      <c r="N514" s="16" t="str">
        <f t="shared" ref="N514:N577" si="24">IF(AND(M514 &gt; 22.5,M514&lt;=67.6),"NE",IF(AND(M514 &gt; 67.5,M514&lt;=112.5),"E",IF(AND(M514 &gt; 112.5,M514&lt;=157.5),"SE",IF(AND(M514 &gt; 157.5,M514&lt;=202.5),"S",IF(AND(M514 &gt; 202.5,M514&lt;=247.5),"SW",IF(AND(M514 &gt; 247.5,M514&lt;=292.5),"W",IF(AND(M514 &gt; 292.5,M514&lt;=337.5),"NW",IF(AND(M514 &gt; 22.5,M514&lt;=360),"N","N"))))))))</f>
        <v>S</v>
      </c>
      <c r="O514" s="17">
        <v>13.4</v>
      </c>
      <c r="P514" s="16" t="s">
        <v>137</v>
      </c>
      <c r="Q514" s="18">
        <v>10.5</v>
      </c>
      <c r="R514" s="19">
        <v>10.59</v>
      </c>
      <c r="S514" s="19">
        <v>8.3000000000000007</v>
      </c>
      <c r="T514" s="19">
        <v>14.9</v>
      </c>
      <c r="U514" s="20">
        <v>197.78</v>
      </c>
      <c r="V514" s="16" t="s">
        <v>13</v>
      </c>
      <c r="W514" s="21">
        <v>0</v>
      </c>
      <c r="X514" s="21">
        <v>0</v>
      </c>
      <c r="Y514" s="21">
        <v>0</v>
      </c>
      <c r="Z514" s="21">
        <v>0</v>
      </c>
      <c r="AA514" s="21">
        <v>0.57999999999999996</v>
      </c>
      <c r="AB514" s="21">
        <v>0.42</v>
      </c>
      <c r="AC514" s="21">
        <v>0</v>
      </c>
      <c r="AD514" s="21">
        <v>0</v>
      </c>
      <c r="AE514" s="21">
        <v>13.59</v>
      </c>
      <c r="AF514" s="21">
        <v>12.83</v>
      </c>
      <c r="AG514" s="21">
        <v>22.5</v>
      </c>
      <c r="AH514" s="18" t="s">
        <v>36</v>
      </c>
      <c r="AI514" s="13" t="str">
        <f>VLOOKUP(AH514,'Hess and Brezowsky'!$B$2:$G$31,2,FALSE)</f>
        <v>Meridional</v>
      </c>
      <c r="AJ514" s="18" t="str">
        <f>VLOOKUP(AH514,'Hess and Brezowsky'!$B$2:$G$31,3,FALSE)</f>
        <v>C</v>
      </c>
      <c r="AK514" s="13" t="str">
        <f>VLOOKUP(AH514,'Hess and Brezowsky'!$B$2:$G$31,4,FALSE)</f>
        <v>Low over the British Isles</v>
      </c>
      <c r="AL514" s="29">
        <v>0.27961805555555558</v>
      </c>
      <c r="AM514" s="29">
        <v>0.48292824074074076</v>
      </c>
      <c r="AN514" s="30">
        <v>0.68625000000000003</v>
      </c>
    </row>
    <row r="515" spans="1:40" ht="15.75" customHeight="1" x14ac:dyDescent="0.2">
      <c r="A515" s="27">
        <v>45235</v>
      </c>
      <c r="B515" s="13">
        <v>2023</v>
      </c>
      <c r="C515" s="13">
        <v>309</v>
      </c>
      <c r="D515" s="13">
        <f t="shared" si="23"/>
        <v>1</v>
      </c>
      <c r="E515" s="13"/>
      <c r="F515" s="13">
        <f t="shared" si="22"/>
        <v>5</v>
      </c>
      <c r="G515" s="14">
        <v>1</v>
      </c>
      <c r="H515" s="14">
        <v>1</v>
      </c>
      <c r="I515" s="14">
        <v>1</v>
      </c>
      <c r="J515" s="14">
        <v>1</v>
      </c>
      <c r="K515" s="14">
        <v>0</v>
      </c>
      <c r="L515" s="14">
        <v>1</v>
      </c>
      <c r="M515" s="15">
        <v>243.673</v>
      </c>
      <c r="N515" s="16" t="str">
        <f t="shared" si="24"/>
        <v>SW</v>
      </c>
      <c r="O515" s="17">
        <v>13</v>
      </c>
      <c r="P515" s="16" t="s">
        <v>137</v>
      </c>
      <c r="Q515" s="18">
        <v>1.8</v>
      </c>
      <c r="R515" s="19">
        <v>11.38</v>
      </c>
      <c r="S515" s="19">
        <v>9.1999999999999993</v>
      </c>
      <c r="T515" s="19">
        <v>14.7</v>
      </c>
      <c r="U515" s="20">
        <v>243.24</v>
      </c>
      <c r="V515" s="16" t="s">
        <v>5</v>
      </c>
      <c r="W515" s="21">
        <v>0</v>
      </c>
      <c r="X515" s="21">
        <v>0</v>
      </c>
      <c r="Y515" s="21">
        <v>0</v>
      </c>
      <c r="Z515" s="21">
        <v>0</v>
      </c>
      <c r="AA515" s="21">
        <v>0.04</v>
      </c>
      <c r="AB515" s="21">
        <v>0.67</v>
      </c>
      <c r="AC515" s="21">
        <v>0.28999999999999998</v>
      </c>
      <c r="AD515" s="21">
        <v>0</v>
      </c>
      <c r="AE515" s="21">
        <v>14.63</v>
      </c>
      <c r="AF515" s="21">
        <v>14.08</v>
      </c>
      <c r="AG515" s="21">
        <v>19.600000000000001</v>
      </c>
      <c r="AH515" s="18" t="s">
        <v>36</v>
      </c>
      <c r="AI515" s="13" t="str">
        <f>VLOOKUP(AH515,'Hess and Brezowsky'!$B$2:$G$31,2,FALSE)</f>
        <v>Meridional</v>
      </c>
      <c r="AJ515" s="18" t="str">
        <f>VLOOKUP(AH515,'Hess and Brezowsky'!$B$2:$G$31,3,FALSE)</f>
        <v>C</v>
      </c>
      <c r="AK515" s="13" t="str">
        <f>VLOOKUP(AH515,'Hess and Brezowsky'!$B$2:$G$31,4,FALSE)</f>
        <v>Low over the British Isles</v>
      </c>
      <c r="AL515" s="29">
        <v>0.28072916666666664</v>
      </c>
      <c r="AM515" s="29">
        <v>0.48295138888888889</v>
      </c>
      <c r="AN515" s="30">
        <v>0.68517361111111108</v>
      </c>
    </row>
    <row r="516" spans="1:40" ht="15.75" customHeight="1" x14ac:dyDescent="0.2">
      <c r="A516" s="27">
        <v>45236</v>
      </c>
      <c r="B516" s="13">
        <v>2023</v>
      </c>
      <c r="C516" s="13">
        <v>310</v>
      </c>
      <c r="D516" s="13">
        <f t="shared" si="23"/>
        <v>2</v>
      </c>
      <c r="E516" s="13"/>
      <c r="F516" s="13">
        <f t="shared" si="22"/>
        <v>5</v>
      </c>
      <c r="G516" s="14">
        <v>1</v>
      </c>
      <c r="H516" s="14">
        <v>1</v>
      </c>
      <c r="I516" s="14">
        <v>1</v>
      </c>
      <c r="J516" s="14">
        <v>1</v>
      </c>
      <c r="K516" s="14">
        <v>0</v>
      </c>
      <c r="L516" s="14">
        <v>1</v>
      </c>
      <c r="M516" s="15">
        <v>223.83</v>
      </c>
      <c r="N516" s="16" t="str">
        <f t="shared" si="24"/>
        <v>SW</v>
      </c>
      <c r="O516" s="17">
        <v>9.8000000000000007</v>
      </c>
      <c r="P516" s="16" t="s">
        <v>137</v>
      </c>
      <c r="Q516" s="18">
        <v>0.6</v>
      </c>
      <c r="R516" s="19">
        <v>10.45</v>
      </c>
      <c r="S516" s="19">
        <v>8.5</v>
      </c>
      <c r="T516" s="19">
        <v>14.5</v>
      </c>
      <c r="U516" s="20">
        <v>224.58</v>
      </c>
      <c r="V516" s="16" t="s">
        <v>5</v>
      </c>
      <c r="W516" s="21">
        <v>0</v>
      </c>
      <c r="X516" s="21">
        <v>0</v>
      </c>
      <c r="Y516" s="21">
        <v>0</v>
      </c>
      <c r="Z516" s="21">
        <v>0</v>
      </c>
      <c r="AA516" s="21">
        <v>0</v>
      </c>
      <c r="AB516" s="21">
        <v>1</v>
      </c>
      <c r="AC516" s="21">
        <v>0</v>
      </c>
      <c r="AD516" s="21">
        <v>0</v>
      </c>
      <c r="AE516" s="21">
        <v>8.8800000000000008</v>
      </c>
      <c r="AF516" s="21">
        <v>8.8000000000000007</v>
      </c>
      <c r="AG516" s="21">
        <v>15.1</v>
      </c>
      <c r="AH516" s="18" t="s">
        <v>28</v>
      </c>
      <c r="AI516" s="13" t="str">
        <f>VLOOKUP(AH516,'Hess and Brezowsky'!$B$2:$G$31,2,FALSE)</f>
        <v>Zonal</v>
      </c>
      <c r="AJ516" s="18" t="str">
        <f>VLOOKUP(AH516,'Hess and Brezowsky'!$B$2:$G$31,3,FALSE)</f>
        <v>C</v>
      </c>
      <c r="AK516" s="13" t="str">
        <f>VLOOKUP(AH516,'Hess and Brezowsky'!$B$2:$G$31,4,FALSE)</f>
        <v>Cyclonic Westerly</v>
      </c>
      <c r="AL516" s="29">
        <v>0.28185185185185185</v>
      </c>
      <c r="AM516" s="29">
        <v>0.48298611111111112</v>
      </c>
      <c r="AN516" s="30">
        <v>0.68412037037037032</v>
      </c>
    </row>
    <row r="517" spans="1:40" ht="15.75" customHeight="1" x14ac:dyDescent="0.2">
      <c r="A517" s="27">
        <v>45237</v>
      </c>
      <c r="B517" s="13">
        <v>2023</v>
      </c>
      <c r="C517" s="13">
        <v>311</v>
      </c>
      <c r="D517" s="13">
        <f t="shared" si="23"/>
        <v>3</v>
      </c>
      <c r="E517" s="13"/>
      <c r="F517" s="13">
        <f t="shared" si="22"/>
        <v>5</v>
      </c>
      <c r="G517" s="14">
        <v>1</v>
      </c>
      <c r="H517" s="14">
        <v>1</v>
      </c>
      <c r="I517" s="14">
        <v>0.95</v>
      </c>
      <c r="J517" s="14">
        <v>1</v>
      </c>
      <c r="K517" s="14">
        <v>0</v>
      </c>
      <c r="L517" s="14">
        <v>1</v>
      </c>
      <c r="M517" s="15">
        <v>238.328</v>
      </c>
      <c r="N517" s="16" t="str">
        <f t="shared" si="24"/>
        <v>SW</v>
      </c>
      <c r="O517" s="17">
        <v>9.5</v>
      </c>
      <c r="P517" s="16" t="s">
        <v>138</v>
      </c>
      <c r="Q517" s="18">
        <v>0</v>
      </c>
      <c r="R517" s="19">
        <v>9.6999999999999993</v>
      </c>
      <c r="S517" s="19">
        <v>7.5</v>
      </c>
      <c r="T517" s="19">
        <v>13</v>
      </c>
      <c r="U517" s="20">
        <v>239.45</v>
      </c>
      <c r="V517" s="16" t="s">
        <v>5</v>
      </c>
      <c r="W517" s="21">
        <v>0</v>
      </c>
      <c r="X517" s="21">
        <v>0</v>
      </c>
      <c r="Y517" s="21">
        <v>0</v>
      </c>
      <c r="Z517" s="21">
        <v>0</v>
      </c>
      <c r="AA517" s="21">
        <v>0</v>
      </c>
      <c r="AB517" s="21">
        <v>1</v>
      </c>
      <c r="AC517" s="21">
        <v>0</v>
      </c>
      <c r="AD517" s="21">
        <v>0</v>
      </c>
      <c r="AE517" s="21">
        <v>11.16</v>
      </c>
      <c r="AF517" s="21">
        <v>11.15</v>
      </c>
      <c r="AG517" s="21">
        <v>15.2</v>
      </c>
      <c r="AH517" s="18" t="s">
        <v>28</v>
      </c>
      <c r="AI517" s="13" t="str">
        <f>VLOOKUP(AH517,'Hess and Brezowsky'!$B$2:$G$31,2,FALSE)</f>
        <v>Zonal</v>
      </c>
      <c r="AJ517" s="18" t="str">
        <f>VLOOKUP(AH517,'Hess and Brezowsky'!$B$2:$G$31,3,FALSE)</f>
        <v>C</v>
      </c>
      <c r="AK517" s="13" t="str">
        <f>VLOOKUP(AH517,'Hess and Brezowsky'!$B$2:$G$31,4,FALSE)</f>
        <v>Cyclonic Westerly</v>
      </c>
      <c r="AL517" s="29">
        <v>0.28296296296296297</v>
      </c>
      <c r="AM517" s="29">
        <v>0.48302083333333334</v>
      </c>
      <c r="AN517" s="30">
        <v>0.68307870370370372</v>
      </c>
    </row>
    <row r="518" spans="1:40" ht="15.75" customHeight="1" x14ac:dyDescent="0.2">
      <c r="A518" s="27">
        <v>45238</v>
      </c>
      <c r="B518" s="13">
        <v>2023</v>
      </c>
      <c r="C518" s="13">
        <v>312</v>
      </c>
      <c r="D518" s="13">
        <f t="shared" si="23"/>
        <v>4</v>
      </c>
      <c r="E518" s="13"/>
      <c r="F518" s="13">
        <f t="shared" si="22"/>
        <v>5</v>
      </c>
      <c r="G518" s="14">
        <v>1</v>
      </c>
      <c r="H518" s="14">
        <v>1</v>
      </c>
      <c r="I518" s="14">
        <v>1</v>
      </c>
      <c r="J518" s="14">
        <v>1</v>
      </c>
      <c r="K518" s="14">
        <v>0</v>
      </c>
      <c r="L518" s="14">
        <v>1</v>
      </c>
      <c r="M518" s="15">
        <v>203.197</v>
      </c>
      <c r="N518" s="16" t="str">
        <f t="shared" si="24"/>
        <v>SW</v>
      </c>
      <c r="O518" s="17">
        <v>11.3</v>
      </c>
      <c r="P518" s="16" t="s">
        <v>137</v>
      </c>
      <c r="Q518" s="18">
        <v>1.2</v>
      </c>
      <c r="R518" s="19">
        <v>10</v>
      </c>
      <c r="S518" s="19">
        <v>7.2</v>
      </c>
      <c r="T518" s="19">
        <v>13.1</v>
      </c>
      <c r="U518" s="20">
        <v>200.76</v>
      </c>
      <c r="V518" s="16" t="s">
        <v>13</v>
      </c>
      <c r="W518" s="21">
        <v>0</v>
      </c>
      <c r="X518" s="21">
        <v>0</v>
      </c>
      <c r="Y518" s="21">
        <v>0</v>
      </c>
      <c r="Z518" s="21">
        <v>0</v>
      </c>
      <c r="AA518" s="21">
        <v>0.75</v>
      </c>
      <c r="AB518" s="21">
        <v>0.25</v>
      </c>
      <c r="AC518" s="21">
        <v>0</v>
      </c>
      <c r="AD518" s="21">
        <v>0</v>
      </c>
      <c r="AE518" s="21">
        <v>11.33</v>
      </c>
      <c r="AF518" s="21">
        <v>10.93</v>
      </c>
      <c r="AG518" s="21">
        <v>17.5</v>
      </c>
      <c r="AH518" s="18" t="s">
        <v>28</v>
      </c>
      <c r="AI518" s="13" t="str">
        <f>VLOOKUP(AH518,'Hess and Brezowsky'!$B$2:$G$31,2,FALSE)</f>
        <v>Zonal</v>
      </c>
      <c r="AJ518" s="18" t="str">
        <f>VLOOKUP(AH518,'Hess and Brezowsky'!$B$2:$G$31,3,FALSE)</f>
        <v>C</v>
      </c>
      <c r="AK518" s="13" t="str">
        <f>VLOOKUP(AH518,'Hess and Brezowsky'!$B$2:$G$31,4,FALSE)</f>
        <v>Cyclonic Westerly</v>
      </c>
      <c r="AL518" s="29">
        <v>0.28407407407407409</v>
      </c>
      <c r="AM518" s="29">
        <v>0.48306712962962961</v>
      </c>
      <c r="AN518" s="30">
        <v>0.68206018518518519</v>
      </c>
    </row>
    <row r="519" spans="1:40" ht="15.75" customHeight="1" x14ac:dyDescent="0.2">
      <c r="A519" s="27">
        <v>45239</v>
      </c>
      <c r="B519" s="13">
        <v>2023</v>
      </c>
      <c r="C519" s="13">
        <v>313</v>
      </c>
      <c r="D519" s="13">
        <f t="shared" si="23"/>
        <v>5</v>
      </c>
      <c r="E519" s="13"/>
      <c r="F519" s="13">
        <f t="shared" si="22"/>
        <v>5</v>
      </c>
      <c r="G519" s="14">
        <v>1</v>
      </c>
      <c r="H519" s="14">
        <v>1</v>
      </c>
      <c r="I519" s="14">
        <v>1</v>
      </c>
      <c r="J519" s="14">
        <v>1</v>
      </c>
      <c r="K519" s="14">
        <v>0</v>
      </c>
      <c r="L519" s="14">
        <v>1</v>
      </c>
      <c r="M519" s="15">
        <v>229.99100000000001</v>
      </c>
      <c r="N519" s="16" t="str">
        <f t="shared" si="24"/>
        <v>SW</v>
      </c>
      <c r="O519" s="17">
        <v>10.1</v>
      </c>
      <c r="P519" s="16" t="s">
        <v>137</v>
      </c>
      <c r="Q519" s="18">
        <v>2.4</v>
      </c>
      <c r="R519" s="19">
        <v>9.74</v>
      </c>
      <c r="S519" s="19">
        <v>7.8</v>
      </c>
      <c r="T519" s="19">
        <v>11.8</v>
      </c>
      <c r="U519" s="20">
        <v>231.79</v>
      </c>
      <c r="V519" s="16" t="s">
        <v>5</v>
      </c>
      <c r="W519" s="21">
        <v>0</v>
      </c>
      <c r="X519" s="21">
        <v>0</v>
      </c>
      <c r="Y519" s="21">
        <v>0</v>
      </c>
      <c r="Z519" s="21">
        <v>0</v>
      </c>
      <c r="AA519" s="21">
        <v>0</v>
      </c>
      <c r="AB519" s="21">
        <v>0.79</v>
      </c>
      <c r="AC519" s="21">
        <v>0.21</v>
      </c>
      <c r="AD519" s="21">
        <v>0</v>
      </c>
      <c r="AE519" s="21">
        <v>10.02</v>
      </c>
      <c r="AF519" s="21">
        <v>9.44</v>
      </c>
      <c r="AG519" s="21">
        <v>16.399999999999999</v>
      </c>
      <c r="AH519" s="18" t="s">
        <v>28</v>
      </c>
      <c r="AI519" s="13" t="str">
        <f>VLOOKUP(AH519,'Hess and Brezowsky'!$B$2:$G$31,2,FALSE)</f>
        <v>Zonal</v>
      </c>
      <c r="AJ519" s="18" t="str">
        <f>VLOOKUP(AH519,'Hess and Brezowsky'!$B$2:$G$31,3,FALSE)</f>
        <v>C</v>
      </c>
      <c r="AK519" s="13" t="str">
        <f>VLOOKUP(AH519,'Hess and Brezowsky'!$B$2:$G$31,4,FALSE)</f>
        <v>Cyclonic Westerly</v>
      </c>
      <c r="AL519" s="29">
        <v>0.28518518518518521</v>
      </c>
      <c r="AM519" s="29">
        <v>0.48312500000000003</v>
      </c>
      <c r="AN519" s="30">
        <v>0.68107638888888888</v>
      </c>
    </row>
    <row r="520" spans="1:40" ht="15.75" customHeight="1" x14ac:dyDescent="0.2">
      <c r="A520" s="27">
        <v>45240</v>
      </c>
      <c r="B520" s="13">
        <v>2023</v>
      </c>
      <c r="C520" s="13">
        <v>314</v>
      </c>
      <c r="D520" s="13">
        <f t="shared" si="23"/>
        <v>6</v>
      </c>
      <c r="E520" s="13"/>
      <c r="F520" s="13">
        <f t="shared" si="22"/>
        <v>5</v>
      </c>
      <c r="G520" s="14">
        <v>1</v>
      </c>
      <c r="H520" s="14">
        <v>1</v>
      </c>
      <c r="I520" s="14">
        <v>1</v>
      </c>
      <c r="J520" s="14">
        <v>1</v>
      </c>
      <c r="K520" s="14">
        <v>0</v>
      </c>
      <c r="L520" s="14">
        <v>1</v>
      </c>
      <c r="M520" s="15">
        <v>245.06200000000001</v>
      </c>
      <c r="N520" s="16" t="str">
        <f t="shared" si="24"/>
        <v>SW</v>
      </c>
      <c r="O520" s="17">
        <v>11.8</v>
      </c>
      <c r="P520" s="16" t="s">
        <v>137</v>
      </c>
      <c r="Q520" s="18">
        <v>2.4</v>
      </c>
      <c r="R520" s="19">
        <v>8.8699999999999992</v>
      </c>
      <c r="S520" s="19">
        <v>6.6</v>
      </c>
      <c r="T520" s="19">
        <v>12.3</v>
      </c>
      <c r="U520" s="20">
        <v>247.79</v>
      </c>
      <c r="V520" s="16" t="s">
        <v>16</v>
      </c>
      <c r="W520" s="21">
        <v>0</v>
      </c>
      <c r="X520" s="21">
        <v>0</v>
      </c>
      <c r="Y520" s="21">
        <v>0</v>
      </c>
      <c r="Z520" s="21">
        <v>0</v>
      </c>
      <c r="AA520" s="21">
        <v>0</v>
      </c>
      <c r="AB520" s="21">
        <v>0.67</v>
      </c>
      <c r="AC520" s="21">
        <v>0.33</v>
      </c>
      <c r="AD520" s="21">
        <v>0</v>
      </c>
      <c r="AE520" s="21">
        <v>12.43</v>
      </c>
      <c r="AF520" s="21">
        <v>11.13</v>
      </c>
      <c r="AG520" s="21">
        <v>18.899999999999999</v>
      </c>
      <c r="AH520" s="18" t="s">
        <v>12</v>
      </c>
      <c r="AI520" s="13" t="str">
        <f>VLOOKUP(AH520,'Hess and Brezowsky'!$B$2:$G$31,2,FALSE)</f>
        <v>Undefined</v>
      </c>
      <c r="AJ520" s="18" t="str">
        <f>VLOOKUP(AH520,'Hess and Brezowsky'!$B$2:$G$31,3,FALSE)</f>
        <v>M</v>
      </c>
      <c r="AK520" s="13" t="str">
        <f>VLOOKUP(AH520,'Hess and Brezowsky'!$B$2:$G$31,4,FALSE)</f>
        <v>Transistion / Undefined</v>
      </c>
      <c r="AL520" s="29">
        <v>0.28629629629629627</v>
      </c>
      <c r="AM520" s="29">
        <v>0.48319444444444443</v>
      </c>
      <c r="AN520" s="30">
        <v>0.68010416666666662</v>
      </c>
    </row>
    <row r="521" spans="1:40" ht="15.75" customHeight="1" x14ac:dyDescent="0.2">
      <c r="A521" s="27">
        <v>45241</v>
      </c>
      <c r="B521" s="13">
        <v>2023</v>
      </c>
      <c r="C521" s="13">
        <v>315</v>
      </c>
      <c r="D521" s="13">
        <f t="shared" si="23"/>
        <v>7</v>
      </c>
      <c r="E521" s="13"/>
      <c r="F521" s="13">
        <f t="shared" si="22"/>
        <v>5</v>
      </c>
      <c r="G521" s="14">
        <v>1</v>
      </c>
      <c r="H521" s="14">
        <v>1</v>
      </c>
      <c r="I521" s="14">
        <v>1</v>
      </c>
      <c r="J521" s="14">
        <v>1</v>
      </c>
      <c r="K521" s="14">
        <v>0</v>
      </c>
      <c r="L521" s="14">
        <v>1</v>
      </c>
      <c r="M521" s="15">
        <v>254.922</v>
      </c>
      <c r="N521" s="16" t="str">
        <f t="shared" si="24"/>
        <v>W</v>
      </c>
      <c r="O521" s="17">
        <v>6.9</v>
      </c>
      <c r="P521" s="16" t="s">
        <v>137</v>
      </c>
      <c r="Q521" s="18">
        <v>1</v>
      </c>
      <c r="R521" s="19">
        <v>8.2799999999999994</v>
      </c>
      <c r="S521" s="19">
        <v>6.3</v>
      </c>
      <c r="T521" s="19">
        <v>11.9</v>
      </c>
      <c r="U521" s="20">
        <v>258.89</v>
      </c>
      <c r="V521" s="16" t="s">
        <v>16</v>
      </c>
      <c r="W521" s="21">
        <v>0</v>
      </c>
      <c r="X521" s="21">
        <v>0</v>
      </c>
      <c r="Y521" s="21">
        <v>0</v>
      </c>
      <c r="Z521" s="21">
        <v>0</v>
      </c>
      <c r="AA521" s="21">
        <v>0.12</v>
      </c>
      <c r="AB521" s="21">
        <v>0.17</v>
      </c>
      <c r="AC521" s="21">
        <v>0.71</v>
      </c>
      <c r="AD521" s="21">
        <v>0</v>
      </c>
      <c r="AE521" s="21">
        <v>7.58</v>
      </c>
      <c r="AF521" s="21">
        <v>6.55</v>
      </c>
      <c r="AG521" s="21">
        <v>12.1</v>
      </c>
      <c r="AH521" s="18" t="s">
        <v>47</v>
      </c>
      <c r="AI521" s="13" t="str">
        <f>VLOOKUP(AH521,'Hess and Brezowsky'!$B$2:$G$31,2,FALSE)</f>
        <v>Zonal</v>
      </c>
      <c r="AJ521" s="18" t="str">
        <f>VLOOKUP(AH521,'Hess and Brezowsky'!$B$2:$G$31,3,FALSE)</f>
        <v>M</v>
      </c>
      <c r="AK521" s="13" t="str">
        <f>VLOOKUP(AH521,'Hess and Brezowsky'!$B$2:$G$31,4,FALSE)</f>
        <v>South-Shifted Westerly</v>
      </c>
      <c r="AL521" s="29">
        <v>0.28740740740740739</v>
      </c>
      <c r="AM521" s="29">
        <v>0.48327546296296298</v>
      </c>
      <c r="AN521" s="30">
        <v>0.67915509259259255</v>
      </c>
    </row>
    <row r="522" spans="1:40" ht="15.75" customHeight="1" x14ac:dyDescent="0.2">
      <c r="A522" s="27">
        <v>45242</v>
      </c>
      <c r="B522" s="13">
        <v>2023</v>
      </c>
      <c r="C522" s="13">
        <v>316</v>
      </c>
      <c r="D522" s="13">
        <f t="shared" si="23"/>
        <v>1</v>
      </c>
      <c r="E522" s="13"/>
      <c r="F522" s="13">
        <f t="shared" si="22"/>
        <v>5</v>
      </c>
      <c r="G522" s="14">
        <v>1</v>
      </c>
      <c r="H522" s="14">
        <v>1</v>
      </c>
      <c r="I522" s="14">
        <v>1</v>
      </c>
      <c r="J522" s="14">
        <v>1</v>
      </c>
      <c r="K522" s="14">
        <v>0</v>
      </c>
      <c r="L522" s="14">
        <v>0.91</v>
      </c>
      <c r="M522" s="15">
        <v>212.58699999999999</v>
      </c>
      <c r="N522" s="16" t="str">
        <f t="shared" si="24"/>
        <v>SW</v>
      </c>
      <c r="O522" s="17">
        <v>9</v>
      </c>
      <c r="P522" s="16" t="s">
        <v>140</v>
      </c>
      <c r="Q522" s="18">
        <v>9.9</v>
      </c>
      <c r="R522" s="19">
        <v>9.77</v>
      </c>
      <c r="S522" s="19">
        <v>6.7</v>
      </c>
      <c r="T522" s="19">
        <v>13.1</v>
      </c>
      <c r="U522" s="20">
        <v>214.64</v>
      </c>
      <c r="V522" s="16" t="s">
        <v>5</v>
      </c>
      <c r="W522" s="21">
        <v>0</v>
      </c>
      <c r="X522" s="21">
        <v>0</v>
      </c>
      <c r="Y522" s="21">
        <v>0</v>
      </c>
      <c r="Z522" s="21">
        <v>0.21</v>
      </c>
      <c r="AA522" s="21">
        <v>0.21</v>
      </c>
      <c r="AB522" s="21">
        <v>0.28999999999999998</v>
      </c>
      <c r="AC522" s="21">
        <v>0.28999999999999998</v>
      </c>
      <c r="AD522" s="21">
        <v>0</v>
      </c>
      <c r="AE522" s="21">
        <v>10.48</v>
      </c>
      <c r="AF522" s="21">
        <v>7.09</v>
      </c>
      <c r="AG522" s="21">
        <v>16.3</v>
      </c>
      <c r="AH522" s="18" t="s">
        <v>47</v>
      </c>
      <c r="AI522" s="13" t="str">
        <f>VLOOKUP(AH522,'Hess and Brezowsky'!$B$2:$G$31,2,FALSE)</f>
        <v>Zonal</v>
      </c>
      <c r="AJ522" s="18" t="str">
        <f>VLOOKUP(AH522,'Hess and Brezowsky'!$B$2:$G$31,3,FALSE)</f>
        <v>M</v>
      </c>
      <c r="AK522" s="13" t="str">
        <f>VLOOKUP(AH522,'Hess and Brezowsky'!$B$2:$G$31,4,FALSE)</f>
        <v>South-Shifted Westerly</v>
      </c>
      <c r="AL522" s="29">
        <v>0.28850694444444447</v>
      </c>
      <c r="AM522" s="29">
        <v>0.48336805555555556</v>
      </c>
      <c r="AN522" s="30">
        <v>0.67821759259259262</v>
      </c>
    </row>
    <row r="523" spans="1:40" ht="15.75" customHeight="1" x14ac:dyDescent="0.2">
      <c r="A523" s="27">
        <v>45243</v>
      </c>
      <c r="B523" s="13">
        <v>2023</v>
      </c>
      <c r="C523" s="13">
        <v>317</v>
      </c>
      <c r="D523" s="13">
        <f t="shared" si="23"/>
        <v>2</v>
      </c>
      <c r="E523" s="31" t="s">
        <v>48</v>
      </c>
      <c r="F523" s="13">
        <f t="shared" si="22"/>
        <v>5</v>
      </c>
      <c r="G523" s="14">
        <v>1</v>
      </c>
      <c r="H523" s="14">
        <v>1</v>
      </c>
      <c r="I523" s="14">
        <v>1</v>
      </c>
      <c r="J523" s="14">
        <v>1</v>
      </c>
      <c r="K523" s="14">
        <v>0.16</v>
      </c>
      <c r="L523" s="14">
        <v>1</v>
      </c>
      <c r="M523" s="15">
        <v>233.65899999999999</v>
      </c>
      <c r="N523" s="16" t="str">
        <f t="shared" si="24"/>
        <v>SW</v>
      </c>
      <c r="O523" s="17">
        <v>12.2</v>
      </c>
      <c r="P523" s="16" t="s">
        <v>140</v>
      </c>
      <c r="Q523" s="18">
        <v>3.4</v>
      </c>
      <c r="R523" s="19">
        <v>14.52</v>
      </c>
      <c r="S523" s="19">
        <v>12</v>
      </c>
      <c r="T523" s="19">
        <v>17.100000000000001</v>
      </c>
      <c r="U523" s="20">
        <v>235.29</v>
      </c>
      <c r="V523" s="16" t="s">
        <v>5</v>
      </c>
      <c r="W523" s="21">
        <v>0</v>
      </c>
      <c r="X523" s="21">
        <v>0</v>
      </c>
      <c r="Y523" s="21">
        <v>0</v>
      </c>
      <c r="Z523" s="21">
        <v>0</v>
      </c>
      <c r="AA523" s="21">
        <v>0.04</v>
      </c>
      <c r="AB523" s="21">
        <v>0.75</v>
      </c>
      <c r="AC523" s="21">
        <v>0.21</v>
      </c>
      <c r="AD523" s="21">
        <v>0</v>
      </c>
      <c r="AE523" s="21">
        <v>12.28</v>
      </c>
      <c r="AF523" s="21">
        <v>11.6</v>
      </c>
      <c r="AG523" s="21">
        <v>19.100000000000001</v>
      </c>
      <c r="AH523" s="18" t="s">
        <v>47</v>
      </c>
      <c r="AI523" s="13" t="str">
        <f>VLOOKUP(AH523,'Hess and Brezowsky'!$B$2:$G$31,2,FALSE)</f>
        <v>Zonal</v>
      </c>
      <c r="AJ523" s="18" t="str">
        <f>VLOOKUP(AH523,'Hess and Brezowsky'!$B$2:$G$31,3,FALSE)</f>
        <v>M</v>
      </c>
      <c r="AK523" s="13" t="str">
        <f>VLOOKUP(AH523,'Hess and Brezowsky'!$B$2:$G$31,4,FALSE)</f>
        <v>South-Shifted Westerly</v>
      </c>
      <c r="AL523" s="29">
        <v>0.28961805555555553</v>
      </c>
      <c r="AM523" s="29">
        <v>0.48346064814814815</v>
      </c>
      <c r="AN523" s="30">
        <v>0.67731481481481481</v>
      </c>
    </row>
    <row r="524" spans="1:40" ht="15.75" customHeight="1" x14ac:dyDescent="0.2">
      <c r="A524" s="27">
        <v>45244</v>
      </c>
      <c r="B524" s="13">
        <v>2023</v>
      </c>
      <c r="C524" s="13">
        <v>318</v>
      </c>
      <c r="D524" s="13">
        <f t="shared" si="23"/>
        <v>3</v>
      </c>
      <c r="E524" s="31" t="s">
        <v>48</v>
      </c>
      <c r="F524" s="13">
        <f t="shared" si="22"/>
        <v>6</v>
      </c>
      <c r="G524" s="14">
        <v>1</v>
      </c>
      <c r="H524" s="14">
        <v>0.95</v>
      </c>
      <c r="I524" s="14">
        <v>1</v>
      </c>
      <c r="J524" s="14">
        <v>1</v>
      </c>
      <c r="K524" s="14">
        <v>0.95</v>
      </c>
      <c r="L524" s="14">
        <v>1</v>
      </c>
      <c r="M524" s="15">
        <v>243.661</v>
      </c>
      <c r="N524" s="16" t="str">
        <f t="shared" si="24"/>
        <v>SW</v>
      </c>
      <c r="O524" s="17">
        <v>11.9</v>
      </c>
      <c r="P524" s="16" t="s">
        <v>140</v>
      </c>
      <c r="Q524" s="18">
        <v>1.4</v>
      </c>
      <c r="R524" s="19">
        <v>12.45</v>
      </c>
      <c r="S524" s="19">
        <v>10.9</v>
      </c>
      <c r="T524" s="19">
        <v>13.6</v>
      </c>
      <c r="U524" s="20">
        <v>243.98</v>
      </c>
      <c r="V524" s="16" t="s">
        <v>5</v>
      </c>
      <c r="W524" s="21">
        <v>0</v>
      </c>
      <c r="X524" s="21">
        <v>0</v>
      </c>
      <c r="Y524" s="21">
        <v>0</v>
      </c>
      <c r="Z524" s="21">
        <v>0</v>
      </c>
      <c r="AA524" s="21">
        <v>0</v>
      </c>
      <c r="AB524" s="21">
        <v>0.62</v>
      </c>
      <c r="AC524" s="21">
        <v>0.38</v>
      </c>
      <c r="AD524" s="21">
        <v>0</v>
      </c>
      <c r="AE524" s="21">
        <v>13.26</v>
      </c>
      <c r="AF524" s="21">
        <v>12.71</v>
      </c>
      <c r="AG524" s="21">
        <v>17.3</v>
      </c>
      <c r="AH524" s="18" t="s">
        <v>47</v>
      </c>
      <c r="AI524" s="13" t="str">
        <f>VLOOKUP(AH524,'Hess and Brezowsky'!$B$2:$G$31,2,FALSE)</f>
        <v>Zonal</v>
      </c>
      <c r="AJ524" s="18" t="str">
        <f>VLOOKUP(AH524,'Hess and Brezowsky'!$B$2:$G$31,3,FALSE)</f>
        <v>M</v>
      </c>
      <c r="AK524" s="13" t="str">
        <f>VLOOKUP(AH524,'Hess and Brezowsky'!$B$2:$G$31,4,FALSE)</f>
        <v>South-Shifted Westerly</v>
      </c>
      <c r="AL524" s="29">
        <v>0.29070601851851852</v>
      </c>
      <c r="AM524" s="29">
        <v>0.48357638888888888</v>
      </c>
      <c r="AN524" s="30">
        <v>0.67643518518518519</v>
      </c>
    </row>
    <row r="525" spans="1:40" ht="15.75" customHeight="1" x14ac:dyDescent="0.2">
      <c r="A525" s="27">
        <v>45245</v>
      </c>
      <c r="B525" s="13">
        <v>2023</v>
      </c>
      <c r="C525" s="13">
        <v>319</v>
      </c>
      <c r="D525" s="13">
        <f t="shared" si="23"/>
        <v>4</v>
      </c>
      <c r="E525" s="31" t="s">
        <v>48</v>
      </c>
      <c r="F525" s="13">
        <f t="shared" si="22"/>
        <v>5</v>
      </c>
      <c r="G525" s="14">
        <v>1</v>
      </c>
      <c r="H525" s="14">
        <v>1</v>
      </c>
      <c r="I525" s="14">
        <v>0.37</v>
      </c>
      <c r="J525" s="14">
        <v>1</v>
      </c>
      <c r="K525" s="14">
        <v>1</v>
      </c>
      <c r="L525" s="14">
        <v>1</v>
      </c>
      <c r="M525" s="15">
        <v>255.99100000000001</v>
      </c>
      <c r="N525" s="16" t="str">
        <f t="shared" si="24"/>
        <v>W</v>
      </c>
      <c r="O525" s="17">
        <v>8.8000000000000007</v>
      </c>
      <c r="P525" s="16" t="s">
        <v>137</v>
      </c>
      <c r="Q525" s="18">
        <v>0</v>
      </c>
      <c r="R525" s="19">
        <v>10.81</v>
      </c>
      <c r="S525" s="19">
        <v>8.1999999999999993</v>
      </c>
      <c r="T525" s="19">
        <v>13.9</v>
      </c>
      <c r="U525" s="20">
        <v>256.38</v>
      </c>
      <c r="V525" s="16" t="s">
        <v>16</v>
      </c>
      <c r="W525" s="21">
        <v>0</v>
      </c>
      <c r="X525" s="21">
        <v>0</v>
      </c>
      <c r="Y525" s="21">
        <v>0</v>
      </c>
      <c r="Z525" s="21">
        <v>0</v>
      </c>
      <c r="AA525" s="21">
        <v>0</v>
      </c>
      <c r="AB525" s="21">
        <v>0.12</v>
      </c>
      <c r="AC525" s="21">
        <v>0.88</v>
      </c>
      <c r="AD525" s="21">
        <v>0</v>
      </c>
      <c r="AE525" s="21">
        <v>10.23</v>
      </c>
      <c r="AF525" s="21">
        <v>10.16</v>
      </c>
      <c r="AG525" s="21">
        <v>15.5</v>
      </c>
      <c r="AH525" s="18" t="s">
        <v>47</v>
      </c>
      <c r="AI525" s="13" t="str">
        <f>VLOOKUP(AH525,'Hess and Brezowsky'!$B$2:$G$31,2,FALSE)</f>
        <v>Zonal</v>
      </c>
      <c r="AJ525" s="18" t="str">
        <f>VLOOKUP(AH525,'Hess and Brezowsky'!$B$2:$G$31,3,FALSE)</f>
        <v>M</v>
      </c>
      <c r="AK525" s="13" t="str">
        <f>VLOOKUP(AH525,'Hess and Brezowsky'!$B$2:$G$31,4,FALSE)</f>
        <v>South-Shifted Westerly</v>
      </c>
      <c r="AL525" s="29">
        <v>0.29180555555555554</v>
      </c>
      <c r="AM525" s="29">
        <v>0.48369212962962965</v>
      </c>
      <c r="AN525" s="30">
        <v>0.67557870370370365</v>
      </c>
    </row>
    <row r="526" spans="1:40" ht="15.75" customHeight="1" x14ac:dyDescent="0.2">
      <c r="A526" s="27">
        <v>45246</v>
      </c>
      <c r="B526" s="13">
        <v>2023</v>
      </c>
      <c r="C526" s="13">
        <v>320</v>
      </c>
      <c r="D526" s="13">
        <f t="shared" si="23"/>
        <v>5</v>
      </c>
      <c r="E526" s="31" t="s">
        <v>48</v>
      </c>
      <c r="F526" s="13">
        <f t="shared" si="22"/>
        <v>6</v>
      </c>
      <c r="G526" s="14">
        <v>1</v>
      </c>
      <c r="H526" s="14">
        <v>1</v>
      </c>
      <c r="I526" s="14">
        <v>1</v>
      </c>
      <c r="J526" s="14">
        <v>1</v>
      </c>
      <c r="K526" s="14">
        <v>0.95</v>
      </c>
      <c r="L526" s="14">
        <v>1</v>
      </c>
      <c r="M526" s="15">
        <v>183.11600000000001</v>
      </c>
      <c r="N526" s="16" t="str">
        <f t="shared" si="24"/>
        <v>S</v>
      </c>
      <c r="O526" s="17">
        <v>7.5</v>
      </c>
      <c r="P526" s="16" t="s">
        <v>140</v>
      </c>
      <c r="Q526" s="18">
        <v>20.5</v>
      </c>
      <c r="R526" s="19">
        <v>8.98</v>
      </c>
      <c r="S526" s="19">
        <v>7.9</v>
      </c>
      <c r="T526" s="19">
        <v>10.8</v>
      </c>
      <c r="U526" s="20">
        <v>198.83</v>
      </c>
      <c r="V526" s="16" t="s">
        <v>13</v>
      </c>
      <c r="W526" s="21">
        <v>0.12</v>
      </c>
      <c r="X526" s="21">
        <v>0</v>
      </c>
      <c r="Y526" s="21">
        <v>0</v>
      </c>
      <c r="Z526" s="21">
        <v>0.25</v>
      </c>
      <c r="AA526" s="21">
        <v>0.25</v>
      </c>
      <c r="AB526" s="21">
        <v>0</v>
      </c>
      <c r="AC526" s="21">
        <v>0.25</v>
      </c>
      <c r="AD526" s="21">
        <v>0.12</v>
      </c>
      <c r="AE526" s="21">
        <v>8.5299999999999994</v>
      </c>
      <c r="AF526" s="21">
        <v>1.73</v>
      </c>
      <c r="AG526" s="21">
        <v>17.100000000000001</v>
      </c>
      <c r="AH526" s="18" t="s">
        <v>12</v>
      </c>
      <c r="AI526" s="13" t="str">
        <f>VLOOKUP(AH526,'Hess and Brezowsky'!$B$2:$G$31,2,FALSE)</f>
        <v>Undefined</v>
      </c>
      <c r="AJ526" s="18" t="str">
        <f>VLOOKUP(AH526,'Hess and Brezowsky'!$B$2:$G$31,3,FALSE)</f>
        <v>M</v>
      </c>
      <c r="AK526" s="13" t="str">
        <f>VLOOKUP(AH526,'Hess and Brezowsky'!$B$2:$G$31,4,FALSE)</f>
        <v>Transistion / Undefined</v>
      </c>
      <c r="AL526" s="29">
        <v>0.29288194444444443</v>
      </c>
      <c r="AM526" s="29">
        <v>0.48381944444444447</v>
      </c>
      <c r="AN526" s="30">
        <v>0.67474537037037041</v>
      </c>
    </row>
    <row r="527" spans="1:40" ht="15.75" customHeight="1" x14ac:dyDescent="0.2">
      <c r="A527" s="27">
        <v>45247</v>
      </c>
      <c r="B527" s="13">
        <v>2023</v>
      </c>
      <c r="C527" s="13">
        <v>321</v>
      </c>
      <c r="D527" s="13">
        <f t="shared" si="23"/>
        <v>6</v>
      </c>
      <c r="E527" s="31" t="s">
        <v>48</v>
      </c>
      <c r="F527" s="13">
        <f t="shared" si="22"/>
        <v>5</v>
      </c>
      <c r="G527" s="14">
        <v>1</v>
      </c>
      <c r="H527" s="14">
        <v>1</v>
      </c>
      <c r="I527" s="14">
        <v>0.2</v>
      </c>
      <c r="J527" s="14">
        <v>1</v>
      </c>
      <c r="K527" s="14">
        <v>1</v>
      </c>
      <c r="L527" s="14">
        <v>1</v>
      </c>
      <c r="M527" s="15">
        <v>267.57400000000001</v>
      </c>
      <c r="N527" s="16" t="str">
        <f t="shared" si="24"/>
        <v>W</v>
      </c>
      <c r="O527" s="17">
        <v>6.9</v>
      </c>
      <c r="P527" s="16" t="s">
        <v>137</v>
      </c>
      <c r="Q527" s="18">
        <v>2.6</v>
      </c>
      <c r="R527" s="19">
        <v>9.06</v>
      </c>
      <c r="S527" s="19">
        <v>7.8</v>
      </c>
      <c r="T527" s="19">
        <v>12.2</v>
      </c>
      <c r="U527" s="20">
        <v>266.01</v>
      </c>
      <c r="V527" s="16" t="s">
        <v>16</v>
      </c>
      <c r="W527" s="21">
        <v>0</v>
      </c>
      <c r="X527" s="21">
        <v>0</v>
      </c>
      <c r="Y527" s="21">
        <v>0</v>
      </c>
      <c r="Z527" s="21">
        <v>0</v>
      </c>
      <c r="AA527" s="21">
        <v>0</v>
      </c>
      <c r="AB527" s="21">
        <v>0.08</v>
      </c>
      <c r="AC527" s="21">
        <v>0.92</v>
      </c>
      <c r="AD527" s="21">
        <v>0</v>
      </c>
      <c r="AE527" s="21">
        <v>7.89</v>
      </c>
      <c r="AF527" s="21">
        <v>7.71</v>
      </c>
      <c r="AG527" s="21">
        <v>14.3</v>
      </c>
      <c r="AH527" s="18" t="s">
        <v>49</v>
      </c>
      <c r="AI527" s="13" t="str">
        <f>VLOOKUP(AH527,'Hess and Brezowsky'!$B$2:$G$31,2,FALSE)</f>
        <v>Zonal</v>
      </c>
      <c r="AJ527" s="18" t="str">
        <f>VLOOKUP(AH527,'Hess and Brezowsky'!$B$2:$G$31,3,FALSE)</f>
        <v>M</v>
      </c>
      <c r="AK527" s="13" t="str">
        <f>VLOOKUP(AH527,'Hess and Brezowsky'!$B$2:$G$31,4,FALSE)</f>
        <v>Maritime Westerly (Block Eastern Europe)</v>
      </c>
      <c r="AL527" s="29">
        <v>0.29396990740740742</v>
      </c>
      <c r="AM527" s="29">
        <v>0.48395833333333332</v>
      </c>
      <c r="AN527" s="30">
        <v>0.67394675925925929</v>
      </c>
    </row>
    <row r="528" spans="1:40" ht="15.75" customHeight="1" x14ac:dyDescent="0.2">
      <c r="A528" s="27">
        <v>45248</v>
      </c>
      <c r="B528" s="13">
        <v>2023</v>
      </c>
      <c r="C528" s="13">
        <v>322</v>
      </c>
      <c r="D528" s="13">
        <f t="shared" si="23"/>
        <v>7</v>
      </c>
      <c r="E528" s="31" t="s">
        <v>48</v>
      </c>
      <c r="F528" s="13">
        <f t="shared" si="22"/>
        <v>5</v>
      </c>
      <c r="G528" s="14">
        <v>1</v>
      </c>
      <c r="H528" s="14">
        <v>1</v>
      </c>
      <c r="I528" s="14">
        <v>0</v>
      </c>
      <c r="J528" s="14">
        <v>1</v>
      </c>
      <c r="K528" s="14">
        <v>1</v>
      </c>
      <c r="L528" s="14">
        <v>1</v>
      </c>
      <c r="M528" s="15">
        <v>213.958</v>
      </c>
      <c r="N528" s="16" t="str">
        <f t="shared" si="24"/>
        <v>SW</v>
      </c>
      <c r="O528" s="17">
        <v>10.9</v>
      </c>
      <c r="P528" s="16" t="s">
        <v>140</v>
      </c>
      <c r="Q528" s="18">
        <v>14.1</v>
      </c>
      <c r="R528" s="19">
        <v>11.07</v>
      </c>
      <c r="S528" s="19">
        <v>8.6999999999999993</v>
      </c>
      <c r="T528" s="19">
        <v>14.6</v>
      </c>
      <c r="U528" s="20">
        <v>211.75</v>
      </c>
      <c r="V528" s="16" t="s">
        <v>5</v>
      </c>
      <c r="W528" s="21">
        <v>0</v>
      </c>
      <c r="X528" s="21">
        <v>0</v>
      </c>
      <c r="Y528" s="21">
        <v>0</v>
      </c>
      <c r="Z528" s="21">
        <v>0</v>
      </c>
      <c r="AA528" s="21">
        <v>0.28999999999999998</v>
      </c>
      <c r="AB528" s="21">
        <v>0.71</v>
      </c>
      <c r="AC528" s="21">
        <v>0</v>
      </c>
      <c r="AD528" s="21">
        <v>0</v>
      </c>
      <c r="AE528" s="21">
        <v>10.4</v>
      </c>
      <c r="AF528" s="21">
        <v>10.029999999999999</v>
      </c>
      <c r="AG528" s="21">
        <v>14.7</v>
      </c>
      <c r="AH528" s="18" t="s">
        <v>49</v>
      </c>
      <c r="AI528" s="13" t="str">
        <f>VLOOKUP(AH528,'Hess and Brezowsky'!$B$2:$G$31,2,FALSE)</f>
        <v>Zonal</v>
      </c>
      <c r="AJ528" s="18" t="str">
        <f>VLOOKUP(AH528,'Hess and Brezowsky'!$B$2:$G$31,3,FALSE)</f>
        <v>M</v>
      </c>
      <c r="AK528" s="13" t="str">
        <f>VLOOKUP(AH528,'Hess and Brezowsky'!$B$2:$G$31,4,FALSE)</f>
        <v>Maritime Westerly (Block Eastern Europe)</v>
      </c>
      <c r="AL528" s="29">
        <v>0.29503472222222221</v>
      </c>
      <c r="AM528" s="29">
        <v>0.48409722222222223</v>
      </c>
      <c r="AN528" s="30">
        <v>0.6731597222222222</v>
      </c>
    </row>
    <row r="529" spans="1:40" ht="15.75" customHeight="1" x14ac:dyDescent="0.2">
      <c r="A529" s="27">
        <v>45249</v>
      </c>
      <c r="B529" s="13">
        <v>2023</v>
      </c>
      <c r="C529" s="13">
        <v>323</v>
      </c>
      <c r="D529" s="13">
        <f t="shared" si="23"/>
        <v>1</v>
      </c>
      <c r="E529" s="31" t="s">
        <v>48</v>
      </c>
      <c r="F529" s="13">
        <f t="shared" si="22"/>
        <v>5</v>
      </c>
      <c r="G529" s="14">
        <v>1</v>
      </c>
      <c r="H529" s="14">
        <v>1</v>
      </c>
      <c r="I529" s="14">
        <v>0.33</v>
      </c>
      <c r="J529" s="14">
        <v>1</v>
      </c>
      <c r="K529" s="14">
        <v>1</v>
      </c>
      <c r="L529" s="14">
        <v>1</v>
      </c>
      <c r="M529" s="15">
        <v>242.036</v>
      </c>
      <c r="N529" s="16" t="str">
        <f t="shared" si="24"/>
        <v>SW</v>
      </c>
      <c r="O529" s="17">
        <v>10.9</v>
      </c>
      <c r="P529" s="16" t="s">
        <v>137</v>
      </c>
      <c r="Q529" s="18">
        <v>0</v>
      </c>
      <c r="R529" s="19">
        <v>13.17</v>
      </c>
      <c r="S529" s="19">
        <v>10.3</v>
      </c>
      <c r="T529" s="19">
        <v>15.3</v>
      </c>
      <c r="U529" s="20">
        <v>241.98</v>
      </c>
      <c r="V529" s="16" t="s">
        <v>5</v>
      </c>
      <c r="W529" s="21">
        <v>0</v>
      </c>
      <c r="X529" s="21">
        <v>0</v>
      </c>
      <c r="Y529" s="21">
        <v>0</v>
      </c>
      <c r="Z529" s="21">
        <v>0</v>
      </c>
      <c r="AA529" s="21">
        <v>0</v>
      </c>
      <c r="AB529" s="21">
        <v>0.88</v>
      </c>
      <c r="AC529" s="21">
        <v>0.12</v>
      </c>
      <c r="AD529" s="21">
        <v>0</v>
      </c>
      <c r="AE529" s="21">
        <v>12.25</v>
      </c>
      <c r="AF529" s="21">
        <v>12.22</v>
      </c>
      <c r="AG529" s="21">
        <v>15.2</v>
      </c>
      <c r="AH529" s="18" t="s">
        <v>49</v>
      </c>
      <c r="AI529" s="13" t="str">
        <f>VLOOKUP(AH529,'Hess and Brezowsky'!$B$2:$G$31,2,FALSE)</f>
        <v>Zonal</v>
      </c>
      <c r="AJ529" s="18" t="str">
        <f>VLOOKUP(AH529,'Hess and Brezowsky'!$B$2:$G$31,3,FALSE)</f>
        <v>M</v>
      </c>
      <c r="AK529" s="13" t="str">
        <f>VLOOKUP(AH529,'Hess and Brezowsky'!$B$2:$G$31,4,FALSE)</f>
        <v>Maritime Westerly (Block Eastern Europe)</v>
      </c>
      <c r="AL529" s="29">
        <v>0.29609953703703706</v>
      </c>
      <c r="AM529" s="29">
        <v>0.48424768518518518</v>
      </c>
      <c r="AN529" s="30">
        <v>0.67240740740740745</v>
      </c>
    </row>
    <row r="530" spans="1:40" ht="15.75" customHeight="1" x14ac:dyDescent="0.2">
      <c r="A530" s="27">
        <v>45250</v>
      </c>
      <c r="B530" s="13">
        <v>2023</v>
      </c>
      <c r="C530" s="13">
        <v>324</v>
      </c>
      <c r="D530" s="13">
        <f t="shared" si="23"/>
        <v>2</v>
      </c>
      <c r="E530" s="31" t="s">
        <v>48</v>
      </c>
      <c r="F530" s="13">
        <f t="shared" si="22"/>
        <v>5</v>
      </c>
      <c r="G530" s="14">
        <v>1</v>
      </c>
      <c r="H530" s="14">
        <v>1</v>
      </c>
      <c r="I530" s="14">
        <v>0</v>
      </c>
      <c r="J530" s="14">
        <v>1</v>
      </c>
      <c r="K530" s="14">
        <v>1</v>
      </c>
      <c r="L530" s="14">
        <v>1</v>
      </c>
      <c r="M530" s="15">
        <v>248.38800000000001</v>
      </c>
      <c r="N530" s="16" t="str">
        <f t="shared" si="24"/>
        <v>W</v>
      </c>
      <c r="O530" s="17">
        <v>10</v>
      </c>
      <c r="P530" s="16" t="s">
        <v>137</v>
      </c>
      <c r="Q530" s="18">
        <v>1.2</v>
      </c>
      <c r="R530" s="19">
        <v>10.88</v>
      </c>
      <c r="S530" s="19">
        <v>9.9</v>
      </c>
      <c r="T530" s="19">
        <v>12.7</v>
      </c>
      <c r="U530" s="20">
        <v>248.04</v>
      </c>
      <c r="V530" s="16" t="s">
        <v>16</v>
      </c>
      <c r="W530" s="21">
        <v>0</v>
      </c>
      <c r="X530" s="21">
        <v>0</v>
      </c>
      <c r="Y530" s="21">
        <v>0</v>
      </c>
      <c r="Z530" s="21">
        <v>0</v>
      </c>
      <c r="AA530" s="21">
        <v>0</v>
      </c>
      <c r="AB530" s="21">
        <v>0.71</v>
      </c>
      <c r="AC530" s="21">
        <v>0.17</v>
      </c>
      <c r="AD530" s="21">
        <v>0.12</v>
      </c>
      <c r="AE530" s="21">
        <v>11.03</v>
      </c>
      <c r="AF530" s="21">
        <v>10.16</v>
      </c>
      <c r="AG530" s="21">
        <v>14.8</v>
      </c>
      <c r="AH530" s="18" t="s">
        <v>49</v>
      </c>
      <c r="AI530" s="13" t="str">
        <f>VLOOKUP(AH530,'Hess and Brezowsky'!$B$2:$G$31,2,FALSE)</f>
        <v>Zonal</v>
      </c>
      <c r="AJ530" s="18" t="str">
        <f>VLOOKUP(AH530,'Hess and Brezowsky'!$B$2:$G$31,3,FALSE)</f>
        <v>M</v>
      </c>
      <c r="AK530" s="13" t="str">
        <f>VLOOKUP(AH530,'Hess and Brezowsky'!$B$2:$G$31,4,FALSE)</f>
        <v>Maritime Westerly (Block Eastern Europe)</v>
      </c>
      <c r="AL530" s="29">
        <v>0.29715277777777777</v>
      </c>
      <c r="AM530" s="29">
        <v>0.48442129629629632</v>
      </c>
      <c r="AN530" s="30">
        <v>0.67167824074074078</v>
      </c>
    </row>
    <row r="531" spans="1:40" ht="15.75" customHeight="1" x14ac:dyDescent="0.2">
      <c r="A531" s="27">
        <v>45251</v>
      </c>
      <c r="B531" s="13">
        <v>2023</v>
      </c>
      <c r="C531" s="13">
        <v>325</v>
      </c>
      <c r="D531" s="13">
        <f t="shared" si="23"/>
        <v>3</v>
      </c>
      <c r="E531" s="31" t="s">
        <v>48</v>
      </c>
      <c r="F531" s="13">
        <f t="shared" si="22"/>
        <v>6</v>
      </c>
      <c r="G531" s="14">
        <v>1</v>
      </c>
      <c r="H531" s="14">
        <v>1</v>
      </c>
      <c r="I531" s="14">
        <v>1</v>
      </c>
      <c r="J531" s="14">
        <v>1</v>
      </c>
      <c r="K531" s="14">
        <v>1</v>
      </c>
      <c r="L531" s="14">
        <v>1</v>
      </c>
      <c r="M531" s="15">
        <v>345.71300000000002</v>
      </c>
      <c r="N531" s="16" t="str">
        <f t="shared" si="24"/>
        <v>N</v>
      </c>
      <c r="O531" s="17">
        <v>7.6</v>
      </c>
      <c r="P531" s="16" t="s">
        <v>137</v>
      </c>
      <c r="Q531" s="18">
        <v>2.2000000000000002</v>
      </c>
      <c r="R531" s="19">
        <v>10.86</v>
      </c>
      <c r="S531" s="19">
        <v>9.6</v>
      </c>
      <c r="T531" s="19">
        <v>12.2</v>
      </c>
      <c r="U531" s="20">
        <v>340.41</v>
      </c>
      <c r="V531" s="16" t="s">
        <v>7</v>
      </c>
      <c r="W531" s="21">
        <v>0.57999999999999996</v>
      </c>
      <c r="X531" s="21">
        <v>0</v>
      </c>
      <c r="Y531" s="21">
        <v>0</v>
      </c>
      <c r="Z531" s="21">
        <v>0</v>
      </c>
      <c r="AA531" s="21">
        <v>0</v>
      </c>
      <c r="AB531" s="21">
        <v>0</v>
      </c>
      <c r="AC531" s="21">
        <v>0</v>
      </c>
      <c r="AD531" s="21">
        <v>0.42</v>
      </c>
      <c r="AE531" s="21">
        <v>8.41</v>
      </c>
      <c r="AF531" s="21">
        <v>7.91</v>
      </c>
      <c r="AG531" s="21">
        <v>10.6</v>
      </c>
      <c r="AH531" s="18" t="s">
        <v>12</v>
      </c>
      <c r="AI531" s="13" t="str">
        <f>VLOOKUP(AH531,'Hess and Brezowsky'!$B$2:$G$31,2,FALSE)</f>
        <v>Undefined</v>
      </c>
      <c r="AJ531" s="18" t="str">
        <f>VLOOKUP(AH531,'Hess and Brezowsky'!$B$2:$G$31,3,FALSE)</f>
        <v>M</v>
      </c>
      <c r="AK531" s="13" t="str">
        <f>VLOOKUP(AH531,'Hess and Brezowsky'!$B$2:$G$31,4,FALSE)</f>
        <v>Transistion / Undefined</v>
      </c>
      <c r="AL531" s="29">
        <v>0.29820601851851852</v>
      </c>
      <c r="AM531" s="29">
        <v>0.4845949074074074</v>
      </c>
      <c r="AN531" s="30">
        <v>0.67097222222222219</v>
      </c>
    </row>
    <row r="532" spans="1:40" ht="15.75" customHeight="1" x14ac:dyDescent="0.2">
      <c r="A532" s="27">
        <v>45252</v>
      </c>
      <c r="B532" s="13">
        <v>2023</v>
      </c>
      <c r="C532" s="13">
        <v>326</v>
      </c>
      <c r="D532" s="13">
        <f t="shared" si="23"/>
        <v>4</v>
      </c>
      <c r="E532" s="32" t="s">
        <v>50</v>
      </c>
      <c r="F532" s="13">
        <f t="shared" si="22"/>
        <v>6</v>
      </c>
      <c r="G532" s="14">
        <v>1</v>
      </c>
      <c r="H532" s="14">
        <v>1</v>
      </c>
      <c r="I532" s="14">
        <v>1</v>
      </c>
      <c r="J532" s="14">
        <v>1</v>
      </c>
      <c r="K532" s="14">
        <v>1</v>
      </c>
      <c r="L532" s="14">
        <v>1</v>
      </c>
      <c r="M532" s="15">
        <v>2.2949999999999999</v>
      </c>
      <c r="N532" s="16" t="str">
        <f t="shared" si="24"/>
        <v>N</v>
      </c>
      <c r="O532" s="17">
        <v>6</v>
      </c>
      <c r="P532" s="16" t="s">
        <v>138</v>
      </c>
      <c r="Q532" s="18">
        <v>0</v>
      </c>
      <c r="R532" s="19">
        <v>7.87</v>
      </c>
      <c r="S532" s="19">
        <v>5.8</v>
      </c>
      <c r="T532" s="19">
        <v>10.199999999999999</v>
      </c>
      <c r="U532" s="20">
        <v>358.72</v>
      </c>
      <c r="V532" s="16" t="s">
        <v>7</v>
      </c>
      <c r="W532" s="21">
        <v>0.5</v>
      </c>
      <c r="X532" s="21">
        <v>0.17</v>
      </c>
      <c r="Y532" s="21">
        <v>0</v>
      </c>
      <c r="Z532" s="21">
        <v>0</v>
      </c>
      <c r="AA532" s="21">
        <v>0</v>
      </c>
      <c r="AB532" s="21">
        <v>0</v>
      </c>
      <c r="AC532" s="21">
        <v>0.17</v>
      </c>
      <c r="AD532" s="21">
        <v>0.17</v>
      </c>
      <c r="AE532" s="21">
        <v>5.93</v>
      </c>
      <c r="AF532" s="21">
        <v>4.82</v>
      </c>
      <c r="AG532" s="21">
        <v>11.1</v>
      </c>
      <c r="AH532" s="18" t="s">
        <v>44</v>
      </c>
      <c r="AI532" s="13" t="str">
        <f>VLOOKUP(AH532,'Hess and Brezowsky'!$B$2:$G$31,2,FALSE)</f>
        <v>Mixed</v>
      </c>
      <c r="AJ532" s="18" t="str">
        <f>VLOOKUP(AH532,'Hess and Brezowsky'!$B$2:$G$31,3,FALSE)</f>
        <v>A</v>
      </c>
      <c r="AK532" s="13" t="str">
        <f>VLOOKUP(AH532,'Hess and Brezowsky'!$B$2:$G$31,4,FALSE)</f>
        <v>Anticyclonic North-Westerly</v>
      </c>
      <c r="AL532" s="29">
        <v>0.29923611111111109</v>
      </c>
      <c r="AM532" s="29">
        <v>0.48476851851851854</v>
      </c>
      <c r="AN532" s="30">
        <v>0.67030092592592594</v>
      </c>
    </row>
    <row r="533" spans="1:40" ht="15.75" customHeight="1" x14ac:dyDescent="0.2">
      <c r="A533" s="27">
        <v>45253</v>
      </c>
      <c r="B533" s="13">
        <v>2023</v>
      </c>
      <c r="C533" s="13">
        <v>327</v>
      </c>
      <c r="D533" s="13">
        <f t="shared" si="23"/>
        <v>5</v>
      </c>
      <c r="E533" s="32" t="s">
        <v>50</v>
      </c>
      <c r="F533" s="13">
        <f t="shared" si="22"/>
        <v>6</v>
      </c>
      <c r="G533" s="14">
        <v>1</v>
      </c>
      <c r="H533" s="14">
        <v>1</v>
      </c>
      <c r="I533" s="14">
        <v>1</v>
      </c>
      <c r="J533" s="14">
        <v>1</v>
      </c>
      <c r="K533" s="14">
        <v>1</v>
      </c>
      <c r="L533" s="14">
        <v>1</v>
      </c>
      <c r="M533" s="15">
        <v>286.404</v>
      </c>
      <c r="N533" s="16" t="str">
        <f t="shared" si="24"/>
        <v>W</v>
      </c>
      <c r="O533" s="17">
        <v>6.7</v>
      </c>
      <c r="P533" s="16" t="s">
        <v>140</v>
      </c>
      <c r="Q533" s="18">
        <v>0.2</v>
      </c>
      <c r="R533" s="19">
        <v>10.57</v>
      </c>
      <c r="S533" s="19">
        <v>7.1</v>
      </c>
      <c r="T533" s="19">
        <v>12.5</v>
      </c>
      <c r="U533" s="20">
        <v>284.69</v>
      </c>
      <c r="V533" s="16" t="s">
        <v>16</v>
      </c>
      <c r="W533" s="21">
        <v>0</v>
      </c>
      <c r="X533" s="21">
        <v>0</v>
      </c>
      <c r="Y533" s="21">
        <v>0</v>
      </c>
      <c r="Z533" s="21">
        <v>0</v>
      </c>
      <c r="AA533" s="21">
        <v>0</v>
      </c>
      <c r="AB533" s="21">
        <v>0</v>
      </c>
      <c r="AC533" s="21">
        <v>0.75</v>
      </c>
      <c r="AD533" s="21">
        <v>0.25</v>
      </c>
      <c r="AE533" s="21">
        <v>8.31</v>
      </c>
      <c r="AF533" s="21">
        <v>8.2200000000000006</v>
      </c>
      <c r="AG533" s="21">
        <v>12.5</v>
      </c>
      <c r="AH533" s="18" t="s">
        <v>44</v>
      </c>
      <c r="AI533" s="13" t="str">
        <f>VLOOKUP(AH533,'Hess and Brezowsky'!$B$2:$G$31,2,FALSE)</f>
        <v>Mixed</v>
      </c>
      <c r="AJ533" s="18" t="str">
        <f>VLOOKUP(AH533,'Hess and Brezowsky'!$B$2:$G$31,3,FALSE)</f>
        <v>A</v>
      </c>
      <c r="AK533" s="13" t="str">
        <f>VLOOKUP(AH533,'Hess and Brezowsky'!$B$2:$G$31,4,FALSE)</f>
        <v>Anticyclonic North-Westerly</v>
      </c>
      <c r="AL533" s="29">
        <v>0.30026620370370372</v>
      </c>
      <c r="AM533" s="29">
        <v>0.48496527777777776</v>
      </c>
      <c r="AN533" s="30">
        <v>0.66965277777777776</v>
      </c>
    </row>
    <row r="534" spans="1:40" ht="15.75" customHeight="1" x14ac:dyDescent="0.2">
      <c r="A534" s="27">
        <v>45254</v>
      </c>
      <c r="B534" s="13">
        <v>2023</v>
      </c>
      <c r="C534" s="13">
        <v>328</v>
      </c>
      <c r="D534" s="13">
        <f t="shared" si="23"/>
        <v>6</v>
      </c>
      <c r="E534" s="31" t="s">
        <v>48</v>
      </c>
      <c r="F534" s="13">
        <f t="shared" si="22"/>
        <v>6</v>
      </c>
      <c r="G534" s="14">
        <v>1</v>
      </c>
      <c r="H534" s="14">
        <v>1</v>
      </c>
      <c r="I534" s="14">
        <v>0.95</v>
      </c>
      <c r="J534" s="14">
        <v>1</v>
      </c>
      <c r="K534" s="14">
        <v>1</v>
      </c>
      <c r="L534" s="14">
        <v>1</v>
      </c>
      <c r="M534" s="15">
        <v>323.67200000000003</v>
      </c>
      <c r="N534" s="16" t="str">
        <f t="shared" si="24"/>
        <v>NW</v>
      </c>
      <c r="O534" s="17">
        <v>9.1999999999999993</v>
      </c>
      <c r="P534" s="16" t="s">
        <v>140</v>
      </c>
      <c r="Q534" s="18">
        <v>0.4</v>
      </c>
      <c r="R534" s="19">
        <v>9.2799999999999994</v>
      </c>
      <c r="S534" s="19">
        <v>5</v>
      </c>
      <c r="T534" s="19">
        <v>11.9</v>
      </c>
      <c r="U534" s="20">
        <v>316.83999999999997</v>
      </c>
      <c r="V534" s="16" t="s">
        <v>6</v>
      </c>
      <c r="W534" s="21">
        <v>0.12</v>
      </c>
      <c r="X534" s="21">
        <v>0</v>
      </c>
      <c r="Y534" s="21">
        <v>0</v>
      </c>
      <c r="Z534" s="21">
        <v>0</v>
      </c>
      <c r="AA534" s="21">
        <v>0</v>
      </c>
      <c r="AB534" s="21">
        <v>0</v>
      </c>
      <c r="AC534" s="21">
        <v>0.12</v>
      </c>
      <c r="AD534" s="21">
        <v>0.75</v>
      </c>
      <c r="AE534" s="21">
        <v>11.08</v>
      </c>
      <c r="AF534" s="21">
        <v>10.57</v>
      </c>
      <c r="AG534" s="21">
        <v>13.4</v>
      </c>
      <c r="AH534" s="18" t="s">
        <v>44</v>
      </c>
      <c r="AI534" s="13" t="str">
        <f>VLOOKUP(AH534,'Hess and Brezowsky'!$B$2:$G$31,2,FALSE)</f>
        <v>Mixed</v>
      </c>
      <c r="AJ534" s="18" t="str">
        <f>VLOOKUP(AH534,'Hess and Brezowsky'!$B$2:$G$31,3,FALSE)</f>
        <v>A</v>
      </c>
      <c r="AK534" s="13" t="str">
        <f>VLOOKUP(AH534,'Hess and Brezowsky'!$B$2:$G$31,4,FALSE)</f>
        <v>Anticyclonic North-Westerly</v>
      </c>
      <c r="AL534" s="29">
        <v>0.30127314814814815</v>
      </c>
      <c r="AM534" s="29">
        <v>0.48516203703703703</v>
      </c>
      <c r="AN534" s="30">
        <v>0.66903935185185182</v>
      </c>
    </row>
    <row r="535" spans="1:40" ht="15.75" customHeight="1" x14ac:dyDescent="0.2">
      <c r="A535" s="27">
        <v>45255</v>
      </c>
      <c r="B535" s="13">
        <v>2023</v>
      </c>
      <c r="C535" s="13">
        <v>329</v>
      </c>
      <c r="D535" s="13">
        <f t="shared" si="23"/>
        <v>7</v>
      </c>
      <c r="E535" s="31" t="s">
        <v>48</v>
      </c>
      <c r="F535" s="13">
        <f t="shared" si="22"/>
        <v>6</v>
      </c>
      <c r="G535" s="14">
        <v>1</v>
      </c>
      <c r="H535" s="14">
        <v>1</v>
      </c>
      <c r="I535" s="14">
        <v>1</v>
      </c>
      <c r="J535" s="14">
        <v>1</v>
      </c>
      <c r="K535" s="14">
        <v>1</v>
      </c>
      <c r="L535" s="14">
        <v>1</v>
      </c>
      <c r="M535" s="15">
        <v>321.00799999999998</v>
      </c>
      <c r="N535" s="16" t="str">
        <f t="shared" si="24"/>
        <v>NW</v>
      </c>
      <c r="O535" s="17">
        <v>8.3000000000000007</v>
      </c>
      <c r="P535" s="16" t="s">
        <v>137</v>
      </c>
      <c r="Q535" s="18">
        <v>0</v>
      </c>
      <c r="R535" s="19">
        <v>5.49</v>
      </c>
      <c r="S535" s="19">
        <v>3.7</v>
      </c>
      <c r="T535" s="19">
        <v>8</v>
      </c>
      <c r="U535" s="20">
        <v>314.10000000000002</v>
      </c>
      <c r="V535" s="16" t="s">
        <v>6</v>
      </c>
      <c r="W535" s="21">
        <v>0</v>
      </c>
      <c r="X535" s="21">
        <v>0</v>
      </c>
      <c r="Y535" s="21">
        <v>0</v>
      </c>
      <c r="Z535" s="21">
        <v>0</v>
      </c>
      <c r="AA535" s="21">
        <v>0</v>
      </c>
      <c r="AB535" s="21">
        <v>0</v>
      </c>
      <c r="AC535" s="21">
        <v>0</v>
      </c>
      <c r="AD535" s="21">
        <v>1</v>
      </c>
      <c r="AE535" s="21">
        <v>9.67</v>
      </c>
      <c r="AF535" s="21">
        <v>9.6199999999999992</v>
      </c>
      <c r="AG535" s="21">
        <v>12.9</v>
      </c>
      <c r="AH535" s="18" t="s">
        <v>18</v>
      </c>
      <c r="AI535" s="13" t="str">
        <f>VLOOKUP(AH535,'Hess and Brezowsky'!$B$2:$G$31,2,FALSE)</f>
        <v>Meridional</v>
      </c>
      <c r="AJ535" s="18" t="str">
        <f>VLOOKUP(AH535,'Hess and Brezowsky'!$B$2:$G$31,3,FALSE)</f>
        <v>C</v>
      </c>
      <c r="AK535" s="13" t="str">
        <f>VLOOKUP(AH535,'Hess and Brezowsky'!$B$2:$G$31,4,FALSE)</f>
        <v>Cyclonic Northerly</v>
      </c>
      <c r="AL535" s="29">
        <v>0.30228009259259259</v>
      </c>
      <c r="AM535" s="29">
        <v>0.4853703703703704</v>
      </c>
      <c r="AN535" s="30">
        <v>0.66844907407407406</v>
      </c>
    </row>
    <row r="536" spans="1:40" ht="15.75" customHeight="1" x14ac:dyDescent="0.2">
      <c r="A536" s="27">
        <v>45256</v>
      </c>
      <c r="B536" s="13">
        <v>2023</v>
      </c>
      <c r="C536" s="13">
        <v>330</v>
      </c>
      <c r="D536" s="13">
        <f t="shared" si="23"/>
        <v>1</v>
      </c>
      <c r="E536" s="31" t="s">
        <v>48</v>
      </c>
      <c r="F536" s="13">
        <f t="shared" si="22"/>
        <v>5</v>
      </c>
      <c r="G536" s="14">
        <v>1</v>
      </c>
      <c r="H536" s="14">
        <v>1</v>
      </c>
      <c r="I536" s="14">
        <v>0.08</v>
      </c>
      <c r="J536" s="14">
        <v>1</v>
      </c>
      <c r="K536" s="14">
        <v>1</v>
      </c>
      <c r="L536" s="14">
        <v>1</v>
      </c>
      <c r="M536" s="15">
        <v>251.23599999999999</v>
      </c>
      <c r="N536" s="16" t="str">
        <f t="shared" si="24"/>
        <v>W</v>
      </c>
      <c r="O536" s="17">
        <v>5.9</v>
      </c>
      <c r="P536" s="16" t="s">
        <v>137</v>
      </c>
      <c r="Q536" s="18">
        <v>0</v>
      </c>
      <c r="R536" s="19">
        <v>4.29</v>
      </c>
      <c r="S536" s="19">
        <v>1.6</v>
      </c>
      <c r="T536" s="19">
        <v>6.9</v>
      </c>
      <c r="U536" s="20">
        <v>253.89</v>
      </c>
      <c r="V536" s="16" t="s">
        <v>16</v>
      </c>
      <c r="W536" s="21">
        <v>0</v>
      </c>
      <c r="X536" s="21">
        <v>0</v>
      </c>
      <c r="Y536" s="21">
        <v>0</v>
      </c>
      <c r="Z536" s="21">
        <v>0</v>
      </c>
      <c r="AA536" s="21">
        <v>0</v>
      </c>
      <c r="AB536" s="21">
        <v>0.5</v>
      </c>
      <c r="AC536" s="21">
        <v>0.33</v>
      </c>
      <c r="AD536" s="21">
        <v>0.17</v>
      </c>
      <c r="AE536" s="21">
        <v>5.13</v>
      </c>
      <c r="AF536" s="21">
        <v>4.3099999999999996</v>
      </c>
      <c r="AG536" s="21">
        <v>9.3000000000000007</v>
      </c>
      <c r="AH536" s="18" t="s">
        <v>18</v>
      </c>
      <c r="AI536" s="13" t="str">
        <f>VLOOKUP(AH536,'Hess and Brezowsky'!$B$2:$G$31,2,FALSE)</f>
        <v>Meridional</v>
      </c>
      <c r="AJ536" s="18" t="str">
        <f>VLOOKUP(AH536,'Hess and Brezowsky'!$B$2:$G$31,3,FALSE)</f>
        <v>C</v>
      </c>
      <c r="AK536" s="13" t="str">
        <f>VLOOKUP(AH536,'Hess and Brezowsky'!$B$2:$G$31,4,FALSE)</f>
        <v>Cyclonic Northerly</v>
      </c>
      <c r="AL536" s="29">
        <v>0.30326388888888889</v>
      </c>
      <c r="AM536" s="29">
        <v>0.48557870370370371</v>
      </c>
      <c r="AN536" s="30">
        <v>0.66789351851851853</v>
      </c>
    </row>
    <row r="537" spans="1:40" ht="15.75" customHeight="1" x14ac:dyDescent="0.2">
      <c r="A537" s="27">
        <v>45257</v>
      </c>
      <c r="B537" s="13">
        <v>2023</v>
      </c>
      <c r="C537" s="13">
        <v>331</v>
      </c>
      <c r="D537" s="13">
        <f t="shared" si="23"/>
        <v>2</v>
      </c>
      <c r="E537" s="31" t="s">
        <v>48</v>
      </c>
      <c r="F537" s="13">
        <f t="shared" si="22"/>
        <v>5</v>
      </c>
      <c r="G537" s="14">
        <v>1</v>
      </c>
      <c r="H537" s="14">
        <v>1</v>
      </c>
      <c r="I537" s="14">
        <v>0</v>
      </c>
      <c r="J537" s="14">
        <v>1</v>
      </c>
      <c r="K537" s="14">
        <v>1</v>
      </c>
      <c r="L537" s="14">
        <v>1</v>
      </c>
      <c r="M537" s="15">
        <v>245.36699999999999</v>
      </c>
      <c r="N537" s="16" t="str">
        <f t="shared" si="24"/>
        <v>SW</v>
      </c>
      <c r="O537" s="17">
        <v>10.8</v>
      </c>
      <c r="P537" s="16" t="s">
        <v>140</v>
      </c>
      <c r="Q537" s="18">
        <v>7.2</v>
      </c>
      <c r="R537" s="19">
        <v>6.54</v>
      </c>
      <c r="S537" s="19">
        <v>4.0999999999999996</v>
      </c>
      <c r="T537" s="19">
        <v>9.3000000000000007</v>
      </c>
      <c r="U537" s="20">
        <v>249.47</v>
      </c>
      <c r="V537" s="16" t="s">
        <v>16</v>
      </c>
      <c r="W537" s="21">
        <v>0</v>
      </c>
      <c r="X537" s="21">
        <v>0</v>
      </c>
      <c r="Y537" s="21">
        <v>0</v>
      </c>
      <c r="Z537" s="21">
        <v>0</v>
      </c>
      <c r="AA537" s="21">
        <v>0</v>
      </c>
      <c r="AB537" s="21">
        <v>0.62</v>
      </c>
      <c r="AC537" s="21">
        <v>0.25</v>
      </c>
      <c r="AD537" s="21">
        <v>0.12</v>
      </c>
      <c r="AE537" s="21">
        <v>11.14</v>
      </c>
      <c r="AF537" s="21">
        <v>9.4700000000000006</v>
      </c>
      <c r="AG537" s="21">
        <v>16.100000000000001</v>
      </c>
      <c r="AH537" s="18" t="s">
        <v>18</v>
      </c>
      <c r="AI537" s="13" t="str">
        <f>VLOOKUP(AH537,'Hess and Brezowsky'!$B$2:$G$31,2,FALSE)</f>
        <v>Meridional</v>
      </c>
      <c r="AJ537" s="18" t="str">
        <f>VLOOKUP(AH537,'Hess and Brezowsky'!$B$2:$G$31,3,FALSE)</f>
        <v>C</v>
      </c>
      <c r="AK537" s="13" t="str">
        <f>VLOOKUP(AH537,'Hess and Brezowsky'!$B$2:$G$31,4,FALSE)</f>
        <v>Cyclonic Northerly</v>
      </c>
      <c r="AL537" s="29">
        <v>0.3042361111111111</v>
      </c>
      <c r="AM537" s="29">
        <v>0.48579861111111111</v>
      </c>
      <c r="AN537" s="30">
        <v>0.66736111111111107</v>
      </c>
    </row>
    <row r="538" spans="1:40" ht="15.75" customHeight="1" x14ac:dyDescent="0.2">
      <c r="A538" s="27">
        <v>45258</v>
      </c>
      <c r="B538" s="13">
        <v>2023</v>
      </c>
      <c r="C538" s="13">
        <v>332</v>
      </c>
      <c r="D538" s="13">
        <f t="shared" si="23"/>
        <v>3</v>
      </c>
      <c r="E538" s="31" t="s">
        <v>48</v>
      </c>
      <c r="F538" s="13">
        <f t="shared" si="22"/>
        <v>6</v>
      </c>
      <c r="G538" s="14">
        <v>1</v>
      </c>
      <c r="H538" s="14">
        <v>1</v>
      </c>
      <c r="I538" s="14">
        <v>1</v>
      </c>
      <c r="J538" s="14">
        <v>1</v>
      </c>
      <c r="K538" s="14">
        <v>1</v>
      </c>
      <c r="L538" s="14">
        <v>1</v>
      </c>
      <c r="M538" s="15">
        <v>322.27300000000002</v>
      </c>
      <c r="N538" s="16" t="str">
        <f t="shared" si="24"/>
        <v>NW</v>
      </c>
      <c r="O538" s="17">
        <v>6.1</v>
      </c>
      <c r="P538" s="16" t="s">
        <v>137</v>
      </c>
      <c r="Q538" s="18">
        <v>0.4</v>
      </c>
      <c r="R538" s="19">
        <v>5.64</v>
      </c>
      <c r="S538" s="19">
        <v>3.2</v>
      </c>
      <c r="T538" s="19">
        <v>7.1</v>
      </c>
      <c r="U538" s="20">
        <v>315.52</v>
      </c>
      <c r="V538" s="16" t="s">
        <v>6</v>
      </c>
      <c r="W538" s="21">
        <v>0.25</v>
      </c>
      <c r="X538" s="21">
        <v>0</v>
      </c>
      <c r="Y538" s="21">
        <v>0</v>
      </c>
      <c r="Z538" s="21">
        <v>0</v>
      </c>
      <c r="AA538" s="21">
        <v>0</v>
      </c>
      <c r="AB538" s="21">
        <v>0.04</v>
      </c>
      <c r="AC538" s="21">
        <v>0.17</v>
      </c>
      <c r="AD538" s="21">
        <v>0.54</v>
      </c>
      <c r="AE538" s="21">
        <v>6.89</v>
      </c>
      <c r="AF538" s="21">
        <v>6.13</v>
      </c>
      <c r="AG538" s="21">
        <v>17.899999999999999</v>
      </c>
      <c r="AH538" s="18" t="s">
        <v>18</v>
      </c>
      <c r="AI538" s="13" t="str">
        <f>VLOOKUP(AH538,'Hess and Brezowsky'!$B$2:$G$31,2,FALSE)</f>
        <v>Meridional</v>
      </c>
      <c r="AJ538" s="18" t="str">
        <f>VLOOKUP(AH538,'Hess and Brezowsky'!$B$2:$G$31,3,FALSE)</f>
        <v>C</v>
      </c>
      <c r="AK538" s="13" t="str">
        <f>VLOOKUP(AH538,'Hess and Brezowsky'!$B$2:$G$31,4,FALSE)</f>
        <v>Cyclonic Northerly</v>
      </c>
      <c r="AL538" s="29">
        <v>0.30519675925925926</v>
      </c>
      <c r="AM538" s="29">
        <v>0.48603009259259261</v>
      </c>
      <c r="AN538" s="30">
        <v>0.66686342592592596</v>
      </c>
    </row>
    <row r="539" spans="1:40" ht="15.75" customHeight="1" x14ac:dyDescent="0.2">
      <c r="A539" s="27">
        <v>45259</v>
      </c>
      <c r="B539" s="13">
        <v>2023</v>
      </c>
      <c r="C539" s="13">
        <v>333</v>
      </c>
      <c r="D539" s="13">
        <f t="shared" si="23"/>
        <v>4</v>
      </c>
      <c r="E539" s="31" t="s">
        <v>48</v>
      </c>
      <c r="F539" s="13">
        <f t="shared" si="22"/>
        <v>6</v>
      </c>
      <c r="G539" s="14">
        <v>1</v>
      </c>
      <c r="H539" s="14">
        <v>1</v>
      </c>
      <c r="I539" s="14">
        <v>1</v>
      </c>
      <c r="J539" s="14">
        <v>1</v>
      </c>
      <c r="K539" s="14">
        <v>1</v>
      </c>
      <c r="L539" s="14">
        <v>1</v>
      </c>
      <c r="M539" s="15">
        <v>238.376</v>
      </c>
      <c r="N539" s="16" t="str">
        <f t="shared" si="24"/>
        <v>SW</v>
      </c>
      <c r="O539" s="17">
        <v>5.7</v>
      </c>
      <c r="P539" s="16" t="s">
        <v>137</v>
      </c>
      <c r="Q539" s="18">
        <v>0</v>
      </c>
      <c r="R539" s="19">
        <v>5.58</v>
      </c>
      <c r="S539" s="19">
        <v>2.8</v>
      </c>
      <c r="T539" s="19">
        <v>9.6</v>
      </c>
      <c r="U539" s="20">
        <v>243.1</v>
      </c>
      <c r="V539" s="16" t="s">
        <v>5</v>
      </c>
      <c r="W539" s="21">
        <v>0</v>
      </c>
      <c r="X539" s="21">
        <v>0</v>
      </c>
      <c r="Y539" s="21">
        <v>0</v>
      </c>
      <c r="Z539" s="21">
        <v>0</v>
      </c>
      <c r="AA539" s="21">
        <v>0.08</v>
      </c>
      <c r="AB539" s="21">
        <v>0.62</v>
      </c>
      <c r="AC539" s="21">
        <v>0.28999999999999998</v>
      </c>
      <c r="AD539" s="21">
        <v>0</v>
      </c>
      <c r="AE539" s="21">
        <v>5.71</v>
      </c>
      <c r="AF539" s="21">
        <v>5.41</v>
      </c>
      <c r="AG539" s="21">
        <v>11.4</v>
      </c>
      <c r="AH539" s="18" t="s">
        <v>47</v>
      </c>
      <c r="AI539" s="13" t="str">
        <f>VLOOKUP(AH539,'Hess and Brezowsky'!$B$2:$G$31,2,FALSE)</f>
        <v>Zonal</v>
      </c>
      <c r="AJ539" s="18" t="str">
        <f>VLOOKUP(AH539,'Hess and Brezowsky'!$B$2:$G$31,3,FALSE)</f>
        <v>M</v>
      </c>
      <c r="AK539" s="13" t="str">
        <f>VLOOKUP(AH539,'Hess and Brezowsky'!$B$2:$G$31,4,FALSE)</f>
        <v>South-Shifted Westerly</v>
      </c>
      <c r="AL539" s="29">
        <v>0.30613425925925924</v>
      </c>
      <c r="AM539" s="29">
        <v>0.48627314814814815</v>
      </c>
      <c r="AN539" s="30">
        <v>0.66640046296296296</v>
      </c>
    </row>
    <row r="540" spans="1:40" ht="15.75" customHeight="1" x14ac:dyDescent="0.2">
      <c r="A540" s="27">
        <v>45260</v>
      </c>
      <c r="B540" s="13">
        <v>2023</v>
      </c>
      <c r="C540" s="13">
        <v>334</v>
      </c>
      <c r="D540" s="13">
        <f t="shared" si="23"/>
        <v>5</v>
      </c>
      <c r="E540" s="31" t="s">
        <v>48</v>
      </c>
      <c r="F540" s="13">
        <f t="shared" si="22"/>
        <v>5</v>
      </c>
      <c r="G540" s="14">
        <v>1</v>
      </c>
      <c r="H540" s="14">
        <v>0.66</v>
      </c>
      <c r="I540" s="14">
        <v>0</v>
      </c>
      <c r="J540" s="14">
        <v>1</v>
      </c>
      <c r="K540" s="14">
        <v>1</v>
      </c>
      <c r="L540" s="14">
        <v>1</v>
      </c>
      <c r="M540" s="15">
        <v>86.039000000000001</v>
      </c>
      <c r="N540" s="16" t="str">
        <f t="shared" si="24"/>
        <v>E</v>
      </c>
      <c r="O540" s="17">
        <v>5.5</v>
      </c>
      <c r="P540" s="16" t="s">
        <v>137</v>
      </c>
      <c r="Q540" s="18">
        <v>0</v>
      </c>
      <c r="R540" s="19">
        <v>4.82</v>
      </c>
      <c r="S540" s="19">
        <v>2.8</v>
      </c>
      <c r="T540" s="19">
        <v>7.4</v>
      </c>
      <c r="U540" s="20">
        <v>88.61</v>
      </c>
      <c r="V540" s="16" t="s">
        <v>9</v>
      </c>
      <c r="W540" s="21">
        <v>0</v>
      </c>
      <c r="X540" s="21">
        <v>0.17</v>
      </c>
      <c r="Y540" s="21">
        <v>0.67</v>
      </c>
      <c r="Z540" s="21">
        <v>0.08</v>
      </c>
      <c r="AA540" s="21">
        <v>0.08</v>
      </c>
      <c r="AB540" s="21">
        <v>0</v>
      </c>
      <c r="AC540" s="21">
        <v>0</v>
      </c>
      <c r="AD540" s="21">
        <v>0</v>
      </c>
      <c r="AE540" s="21">
        <v>5.42</v>
      </c>
      <c r="AF540" s="21">
        <v>4.75</v>
      </c>
      <c r="AG540" s="21">
        <v>8.3000000000000007</v>
      </c>
      <c r="AH540" s="18" t="s">
        <v>47</v>
      </c>
      <c r="AI540" s="13" t="str">
        <f>VLOOKUP(AH540,'Hess and Brezowsky'!$B$2:$G$31,2,FALSE)</f>
        <v>Zonal</v>
      </c>
      <c r="AJ540" s="18" t="str">
        <f>VLOOKUP(AH540,'Hess and Brezowsky'!$B$2:$G$31,3,FALSE)</f>
        <v>M</v>
      </c>
      <c r="AK540" s="13" t="str">
        <f>VLOOKUP(AH540,'Hess and Brezowsky'!$B$2:$G$31,4,FALSE)</f>
        <v>South-Shifted Westerly</v>
      </c>
      <c r="AL540" s="29">
        <v>0.30706018518518519</v>
      </c>
      <c r="AM540" s="29">
        <v>0.48651620370370369</v>
      </c>
      <c r="AN540" s="30">
        <v>0.66597222222222219</v>
      </c>
    </row>
    <row r="541" spans="1:40" ht="15.75" customHeight="1" x14ac:dyDescent="0.2">
      <c r="A541" s="27">
        <v>45261</v>
      </c>
      <c r="B541" s="13">
        <v>2023</v>
      </c>
      <c r="C541" s="13">
        <v>335</v>
      </c>
      <c r="D541" s="13">
        <f t="shared" si="23"/>
        <v>6</v>
      </c>
      <c r="E541" s="31" t="s">
        <v>48</v>
      </c>
      <c r="F541" s="13">
        <f t="shared" si="22"/>
        <v>6</v>
      </c>
      <c r="G541" s="14">
        <v>1</v>
      </c>
      <c r="H541" s="14">
        <v>0.75</v>
      </c>
      <c r="I541" s="14">
        <v>1</v>
      </c>
      <c r="J541" s="14">
        <v>1</v>
      </c>
      <c r="K541" s="14">
        <v>1</v>
      </c>
      <c r="L541" s="14">
        <v>1</v>
      </c>
      <c r="M541" s="15">
        <v>29.468</v>
      </c>
      <c r="N541" s="16" t="str">
        <f t="shared" si="24"/>
        <v>NE</v>
      </c>
      <c r="O541" s="17">
        <v>5.8</v>
      </c>
      <c r="P541" s="16" t="s">
        <v>140</v>
      </c>
      <c r="Q541" s="18">
        <v>0</v>
      </c>
      <c r="R541" s="19">
        <v>2.85</v>
      </c>
      <c r="S541" s="19">
        <v>0.7</v>
      </c>
      <c r="T541" s="19">
        <v>4.9000000000000004</v>
      </c>
      <c r="U541" s="20">
        <v>28.57</v>
      </c>
      <c r="V541" s="16" t="s">
        <v>10</v>
      </c>
      <c r="W541" s="21">
        <v>0.33</v>
      </c>
      <c r="X541" s="21">
        <v>0.67</v>
      </c>
      <c r="Y541" s="21">
        <v>0</v>
      </c>
      <c r="Z541" s="21">
        <v>0</v>
      </c>
      <c r="AA541" s="21">
        <v>0</v>
      </c>
      <c r="AB541" s="21">
        <v>0</v>
      </c>
      <c r="AC541" s="21">
        <v>0</v>
      </c>
      <c r="AD541" s="21">
        <v>0</v>
      </c>
      <c r="AE541" s="21">
        <v>5.73</v>
      </c>
      <c r="AF541" s="21">
        <v>5.66</v>
      </c>
      <c r="AG541" s="21">
        <v>7.9</v>
      </c>
      <c r="AH541" s="18" t="s">
        <v>47</v>
      </c>
      <c r="AI541" s="13" t="str">
        <f>VLOOKUP(AH541,'Hess and Brezowsky'!$B$2:$G$31,2,FALSE)</f>
        <v>Zonal</v>
      </c>
      <c r="AJ541" s="18" t="str">
        <f>VLOOKUP(AH541,'Hess and Brezowsky'!$B$2:$G$31,3,FALSE)</f>
        <v>M</v>
      </c>
      <c r="AK541" s="13" t="str">
        <f>VLOOKUP(AH541,'Hess and Brezowsky'!$B$2:$G$31,4,FALSE)</f>
        <v>South-Shifted Westerly</v>
      </c>
      <c r="AL541" s="29">
        <v>0.30797453703703703</v>
      </c>
      <c r="AM541" s="29">
        <v>0.48677083333333332</v>
      </c>
      <c r="AN541" s="30">
        <v>0.66556712962962961</v>
      </c>
    </row>
    <row r="542" spans="1:40" ht="15.75" customHeight="1" x14ac:dyDescent="0.2">
      <c r="A542" s="27">
        <v>45262</v>
      </c>
      <c r="B542" s="13">
        <v>2023</v>
      </c>
      <c r="C542" s="13">
        <v>336</v>
      </c>
      <c r="D542" s="13">
        <f t="shared" si="23"/>
        <v>7</v>
      </c>
      <c r="E542" s="31" t="s">
        <v>48</v>
      </c>
      <c r="F542" s="13">
        <f t="shared" si="22"/>
        <v>6</v>
      </c>
      <c r="G542" s="14">
        <v>1</v>
      </c>
      <c r="H542" s="14">
        <v>1</v>
      </c>
      <c r="I542" s="14">
        <v>1</v>
      </c>
      <c r="J542" s="14">
        <v>1</v>
      </c>
      <c r="K542" s="14">
        <v>1</v>
      </c>
      <c r="L542" s="14">
        <v>1</v>
      </c>
      <c r="M542" s="15">
        <v>318.399</v>
      </c>
      <c r="N542" s="16" t="str">
        <f t="shared" si="24"/>
        <v>NW</v>
      </c>
      <c r="O542" s="17">
        <v>4.9000000000000004</v>
      </c>
      <c r="P542" s="16" t="s">
        <v>138</v>
      </c>
      <c r="Q542" s="18">
        <v>0</v>
      </c>
      <c r="R542" s="19">
        <v>0.72</v>
      </c>
      <c r="S542" s="19">
        <v>-1.3</v>
      </c>
      <c r="T542" s="19">
        <v>3.4</v>
      </c>
      <c r="U542" s="20">
        <v>316.82</v>
      </c>
      <c r="V542" s="16" t="s">
        <v>6</v>
      </c>
      <c r="W542" s="21">
        <v>0.38</v>
      </c>
      <c r="X542" s="21">
        <v>0</v>
      </c>
      <c r="Y542" s="21">
        <v>0</v>
      </c>
      <c r="Z542" s="21">
        <v>0</v>
      </c>
      <c r="AA542" s="21">
        <v>0</v>
      </c>
      <c r="AB542" s="21">
        <v>0.12</v>
      </c>
      <c r="AC542" s="21">
        <v>0.25</v>
      </c>
      <c r="AD542" s="21">
        <v>0.25</v>
      </c>
      <c r="AE542" s="21">
        <v>4.7300000000000004</v>
      </c>
      <c r="AF542" s="21">
        <v>3.19</v>
      </c>
      <c r="AG542" s="21">
        <v>7.6</v>
      </c>
      <c r="AH542" s="18" t="s">
        <v>47</v>
      </c>
      <c r="AI542" s="13" t="str">
        <f>VLOOKUP(AH542,'Hess and Brezowsky'!$B$2:$G$31,2,FALSE)</f>
        <v>Zonal</v>
      </c>
      <c r="AJ542" s="18" t="str">
        <f>VLOOKUP(AH542,'Hess and Brezowsky'!$B$2:$G$31,3,FALSE)</f>
        <v>M</v>
      </c>
      <c r="AK542" s="13" t="str">
        <f>VLOOKUP(AH542,'Hess and Brezowsky'!$B$2:$G$31,4,FALSE)</f>
        <v>South-Shifted Westerly</v>
      </c>
      <c r="AL542" s="29">
        <v>0.30885416666666665</v>
      </c>
      <c r="AM542" s="29">
        <v>0.48702546296296295</v>
      </c>
      <c r="AN542" s="30">
        <v>0.66519675925925925</v>
      </c>
    </row>
    <row r="543" spans="1:40" ht="15.75" customHeight="1" x14ac:dyDescent="0.2">
      <c r="A543" s="27">
        <v>45263</v>
      </c>
      <c r="B543" s="13">
        <v>2023</v>
      </c>
      <c r="C543" s="13">
        <v>337</v>
      </c>
      <c r="D543" s="13">
        <f t="shared" si="23"/>
        <v>1</v>
      </c>
      <c r="E543" s="31" t="s">
        <v>48</v>
      </c>
      <c r="F543" s="13">
        <f t="shared" si="22"/>
        <v>6</v>
      </c>
      <c r="G543" s="14">
        <v>1</v>
      </c>
      <c r="H543" s="14">
        <v>1</v>
      </c>
      <c r="I543" s="14">
        <v>1</v>
      </c>
      <c r="J543" s="14">
        <v>1</v>
      </c>
      <c r="K543" s="14">
        <v>1</v>
      </c>
      <c r="L543" s="14">
        <v>1</v>
      </c>
      <c r="M543" s="15">
        <v>184.86799999999999</v>
      </c>
      <c r="N543" s="16" t="str">
        <f t="shared" si="24"/>
        <v>S</v>
      </c>
      <c r="O543" s="17">
        <v>10.4</v>
      </c>
      <c r="P543" s="16" t="s">
        <v>137</v>
      </c>
      <c r="Q543" s="18">
        <v>0</v>
      </c>
      <c r="R543" s="19">
        <v>1.22</v>
      </c>
      <c r="S543" s="19">
        <v>-2.1</v>
      </c>
      <c r="T543" s="19">
        <v>3.7</v>
      </c>
      <c r="U543" s="20">
        <v>184.05</v>
      </c>
      <c r="V543" s="16" t="s">
        <v>13</v>
      </c>
      <c r="W543" s="21">
        <v>0</v>
      </c>
      <c r="X543" s="21">
        <v>0</v>
      </c>
      <c r="Y543" s="21">
        <v>0</v>
      </c>
      <c r="Z543" s="21">
        <v>0</v>
      </c>
      <c r="AA543" s="21">
        <v>0.92</v>
      </c>
      <c r="AB543" s="21">
        <v>0.08</v>
      </c>
      <c r="AC543" s="21">
        <v>0</v>
      </c>
      <c r="AD543" s="21">
        <v>0</v>
      </c>
      <c r="AE543" s="21">
        <v>12.01</v>
      </c>
      <c r="AF543" s="21">
        <v>11.67</v>
      </c>
      <c r="AG543" s="21">
        <v>16.399999999999999</v>
      </c>
      <c r="AH543" s="18" t="s">
        <v>47</v>
      </c>
      <c r="AI543" s="13" t="str">
        <f>VLOOKUP(AH543,'Hess and Brezowsky'!$B$2:$G$31,2,FALSE)</f>
        <v>Zonal</v>
      </c>
      <c r="AJ543" s="18" t="str">
        <f>VLOOKUP(AH543,'Hess and Brezowsky'!$B$2:$G$31,3,FALSE)</f>
        <v>M</v>
      </c>
      <c r="AK543" s="13" t="str">
        <f>VLOOKUP(AH543,'Hess and Brezowsky'!$B$2:$G$31,4,FALSE)</f>
        <v>South-Shifted Westerly</v>
      </c>
      <c r="AL543" s="29">
        <v>0.30972222222222223</v>
      </c>
      <c r="AM543" s="29">
        <v>0.48729166666666668</v>
      </c>
      <c r="AN543" s="30">
        <v>0.66486111111111112</v>
      </c>
    </row>
    <row r="544" spans="1:40" ht="15.75" customHeight="1" x14ac:dyDescent="0.2">
      <c r="A544" s="27">
        <v>45264</v>
      </c>
      <c r="B544" s="13">
        <v>2023</v>
      </c>
      <c r="C544" s="13">
        <v>338</v>
      </c>
      <c r="D544" s="13">
        <f t="shared" si="23"/>
        <v>2</v>
      </c>
      <c r="E544" s="31" t="s">
        <v>48</v>
      </c>
      <c r="F544" s="13">
        <f t="shared" si="22"/>
        <v>6</v>
      </c>
      <c r="G544" s="14">
        <v>1</v>
      </c>
      <c r="H544" s="14">
        <v>1</v>
      </c>
      <c r="I544" s="14">
        <v>1</v>
      </c>
      <c r="J544" s="14">
        <v>1</v>
      </c>
      <c r="K544" s="14">
        <v>1</v>
      </c>
      <c r="L544" s="14">
        <v>1</v>
      </c>
      <c r="M544" s="15">
        <v>187.65700000000001</v>
      </c>
      <c r="N544" s="16" t="str">
        <f t="shared" si="24"/>
        <v>S</v>
      </c>
      <c r="O544" s="17">
        <v>12.3</v>
      </c>
      <c r="P544" s="16" t="s">
        <v>137</v>
      </c>
      <c r="Q544" s="18">
        <v>11.5</v>
      </c>
      <c r="R544" s="19">
        <v>6.47</v>
      </c>
      <c r="S544" s="19">
        <v>3.1</v>
      </c>
      <c r="T544" s="19">
        <v>9.5</v>
      </c>
      <c r="U544" s="20">
        <v>187.04</v>
      </c>
      <c r="V544" s="16" t="s">
        <v>13</v>
      </c>
      <c r="W544" s="21">
        <v>0</v>
      </c>
      <c r="X544" s="21">
        <v>0</v>
      </c>
      <c r="Y544" s="21">
        <v>0</v>
      </c>
      <c r="Z544" s="21">
        <v>0</v>
      </c>
      <c r="AA544" s="21">
        <v>0.75</v>
      </c>
      <c r="AB544" s="21">
        <v>0.25</v>
      </c>
      <c r="AC544" s="21">
        <v>0</v>
      </c>
      <c r="AD544" s="21">
        <v>0</v>
      </c>
      <c r="AE544" s="21">
        <v>14.31</v>
      </c>
      <c r="AF544" s="21">
        <v>12.57</v>
      </c>
      <c r="AG544" s="21">
        <v>17.899999999999999</v>
      </c>
      <c r="AH544" s="18" t="s">
        <v>47</v>
      </c>
      <c r="AI544" s="13" t="str">
        <f>VLOOKUP(AH544,'Hess and Brezowsky'!$B$2:$G$31,2,FALSE)</f>
        <v>Zonal</v>
      </c>
      <c r="AJ544" s="18" t="str">
        <f>VLOOKUP(AH544,'Hess and Brezowsky'!$B$2:$G$31,3,FALSE)</f>
        <v>M</v>
      </c>
      <c r="AK544" s="13" t="str">
        <f>VLOOKUP(AH544,'Hess and Brezowsky'!$B$2:$G$31,4,FALSE)</f>
        <v>South-Shifted Westerly</v>
      </c>
      <c r="AL544" s="29">
        <v>0.31057870370370372</v>
      </c>
      <c r="AM544" s="29">
        <v>0.48755787037037035</v>
      </c>
      <c r="AN544" s="30">
        <v>0.66454861111111108</v>
      </c>
    </row>
    <row r="545" spans="1:40" ht="15.75" customHeight="1" x14ac:dyDescent="0.2">
      <c r="A545" s="27">
        <v>45265</v>
      </c>
      <c r="B545" s="13">
        <v>2023</v>
      </c>
      <c r="C545" s="13">
        <v>339</v>
      </c>
      <c r="D545" s="13">
        <f t="shared" si="23"/>
        <v>3</v>
      </c>
      <c r="E545" s="31" t="s">
        <v>48</v>
      </c>
      <c r="F545" s="13">
        <f t="shared" si="22"/>
        <v>6</v>
      </c>
      <c r="G545" s="14">
        <v>1</v>
      </c>
      <c r="H545" s="14">
        <v>1</v>
      </c>
      <c r="I545" s="14">
        <v>1</v>
      </c>
      <c r="J545" s="14">
        <v>1</v>
      </c>
      <c r="K545" s="14">
        <v>1</v>
      </c>
      <c r="L545" s="14">
        <v>1</v>
      </c>
      <c r="M545" s="15">
        <v>271.42599999999999</v>
      </c>
      <c r="N545" s="16" t="str">
        <f t="shared" si="24"/>
        <v>W</v>
      </c>
      <c r="O545" s="17">
        <v>10.199999999999999</v>
      </c>
      <c r="P545" s="16" t="s">
        <v>137</v>
      </c>
      <c r="Q545" s="18">
        <v>6</v>
      </c>
      <c r="R545" s="19">
        <v>7.47</v>
      </c>
      <c r="S545" s="19">
        <v>6.7</v>
      </c>
      <c r="T545" s="19">
        <v>8.9</v>
      </c>
      <c r="U545" s="20">
        <v>268.51</v>
      </c>
      <c r="V545" s="16" t="s">
        <v>16</v>
      </c>
      <c r="W545" s="21">
        <v>0</v>
      </c>
      <c r="X545" s="21">
        <v>0</v>
      </c>
      <c r="Y545" s="21">
        <v>0</v>
      </c>
      <c r="Z545" s="21">
        <v>0</v>
      </c>
      <c r="AA545" s="21">
        <v>0</v>
      </c>
      <c r="AB545" s="21">
        <v>0.08</v>
      </c>
      <c r="AC545" s="21">
        <v>0.79</v>
      </c>
      <c r="AD545" s="21">
        <v>0.12</v>
      </c>
      <c r="AE545" s="21">
        <v>12.11</v>
      </c>
      <c r="AF545" s="21">
        <v>11.65</v>
      </c>
      <c r="AG545" s="21">
        <v>20.3</v>
      </c>
      <c r="AH545" s="18" t="s">
        <v>47</v>
      </c>
      <c r="AI545" s="13" t="str">
        <f>VLOOKUP(AH545,'Hess and Brezowsky'!$B$2:$G$31,2,FALSE)</f>
        <v>Zonal</v>
      </c>
      <c r="AJ545" s="18" t="str">
        <f>VLOOKUP(AH545,'Hess and Brezowsky'!$B$2:$G$31,3,FALSE)</f>
        <v>M</v>
      </c>
      <c r="AK545" s="13" t="str">
        <f>VLOOKUP(AH545,'Hess and Brezowsky'!$B$2:$G$31,4,FALSE)</f>
        <v>South-Shifted Westerly</v>
      </c>
      <c r="AL545" s="29">
        <v>0.31140046296296298</v>
      </c>
      <c r="AM545" s="29">
        <v>0.48783564814814817</v>
      </c>
      <c r="AN545" s="30">
        <v>0.6642824074074074</v>
      </c>
    </row>
    <row r="546" spans="1:40" ht="15.75" customHeight="1" x14ac:dyDescent="0.2">
      <c r="A546" s="27">
        <v>45266</v>
      </c>
      <c r="B546" s="13">
        <v>2023</v>
      </c>
      <c r="C546" s="13">
        <v>340</v>
      </c>
      <c r="D546" s="13">
        <f t="shared" si="23"/>
        <v>4</v>
      </c>
      <c r="E546" s="31" t="s">
        <v>48</v>
      </c>
      <c r="F546" s="13">
        <f t="shared" si="22"/>
        <v>5</v>
      </c>
      <c r="G546" s="14">
        <v>0</v>
      </c>
      <c r="H546" s="14">
        <v>1</v>
      </c>
      <c r="I546" s="14">
        <v>1</v>
      </c>
      <c r="J546" s="14">
        <v>1</v>
      </c>
      <c r="K546" s="14">
        <v>1</v>
      </c>
      <c r="L546" s="14">
        <v>0.95</v>
      </c>
      <c r="M546" s="15">
        <v>313.98</v>
      </c>
      <c r="N546" s="16" t="str">
        <f t="shared" si="24"/>
        <v>NW</v>
      </c>
      <c r="O546" s="17">
        <v>4.3</v>
      </c>
      <c r="P546" s="16" t="s">
        <v>137</v>
      </c>
      <c r="Q546" s="18">
        <v>0</v>
      </c>
      <c r="R546" s="19">
        <v>6.03</v>
      </c>
      <c r="S546" s="19">
        <v>3.7</v>
      </c>
      <c r="T546" s="19">
        <v>8.6999999999999993</v>
      </c>
      <c r="U546" s="20">
        <v>303.75</v>
      </c>
      <c r="V546" s="16" t="s">
        <v>6</v>
      </c>
      <c r="W546" s="21">
        <v>0.25</v>
      </c>
      <c r="X546" s="21">
        <v>0</v>
      </c>
      <c r="Y546" s="21">
        <v>0</v>
      </c>
      <c r="Z546" s="21">
        <v>0</v>
      </c>
      <c r="AA546" s="21">
        <v>0.33</v>
      </c>
      <c r="AB546" s="21">
        <v>0.04</v>
      </c>
      <c r="AC546" s="21">
        <v>0.04</v>
      </c>
      <c r="AD546" s="21">
        <v>0.33</v>
      </c>
      <c r="AE546" s="21">
        <v>4.58</v>
      </c>
      <c r="AF546" s="21">
        <v>1.53</v>
      </c>
      <c r="AG546" s="21">
        <v>9.1</v>
      </c>
      <c r="AH546" s="18" t="s">
        <v>17</v>
      </c>
      <c r="AI546" s="13" t="str">
        <f>VLOOKUP(AH546,'Hess and Brezowsky'!$B$2:$G$31,2,FALSE)</f>
        <v>Meridional</v>
      </c>
      <c r="AJ546" s="18" t="str">
        <f>VLOOKUP(AH546,'Hess and Brezowsky'!$B$2:$G$31,3,FALSE)</f>
        <v>C</v>
      </c>
      <c r="AK546" s="13" t="str">
        <f>VLOOKUP(AH546,'Hess and Brezowsky'!$B$2:$G$31,4,FALSE)</f>
        <v>Scandinavian High, Trough Central Europe</v>
      </c>
      <c r="AL546" s="29">
        <v>0.31221064814814814</v>
      </c>
      <c r="AM546" s="29">
        <v>0.48812499999999998</v>
      </c>
      <c r="AN546" s="30">
        <v>0.66403935185185181</v>
      </c>
    </row>
    <row r="547" spans="1:40" ht="15.75" customHeight="1" x14ac:dyDescent="0.2">
      <c r="A547" s="27">
        <v>45267</v>
      </c>
      <c r="B547" s="13">
        <v>2023</v>
      </c>
      <c r="C547" s="13">
        <v>341</v>
      </c>
      <c r="D547" s="13">
        <f t="shared" si="23"/>
        <v>5</v>
      </c>
      <c r="E547" s="31" t="s">
        <v>48</v>
      </c>
      <c r="F547" s="13">
        <f t="shared" si="22"/>
        <v>5</v>
      </c>
      <c r="G547" s="14">
        <v>0</v>
      </c>
      <c r="H547" s="14">
        <v>1</v>
      </c>
      <c r="I547" s="14">
        <v>1</v>
      </c>
      <c r="J547" s="14">
        <v>1</v>
      </c>
      <c r="K547" s="14">
        <v>1</v>
      </c>
      <c r="L547" s="14">
        <v>1</v>
      </c>
      <c r="M547" s="15">
        <v>156.476</v>
      </c>
      <c r="N547" s="16" t="str">
        <f t="shared" si="24"/>
        <v>SE</v>
      </c>
      <c r="O547" s="17">
        <v>8.4</v>
      </c>
      <c r="P547" s="16" t="s">
        <v>140</v>
      </c>
      <c r="Q547" s="18">
        <v>9.9</v>
      </c>
      <c r="R547" s="19">
        <v>4.67</v>
      </c>
      <c r="S547" s="19">
        <v>3</v>
      </c>
      <c r="T547" s="19">
        <v>6</v>
      </c>
      <c r="U547" s="20">
        <v>161.32</v>
      </c>
      <c r="V547" s="16" t="s">
        <v>13</v>
      </c>
      <c r="W547" s="21">
        <v>0</v>
      </c>
      <c r="X547" s="21">
        <v>0</v>
      </c>
      <c r="Y547" s="21">
        <v>0</v>
      </c>
      <c r="Z547" s="21">
        <v>0.33</v>
      </c>
      <c r="AA547" s="21">
        <v>0.62</v>
      </c>
      <c r="AB547" s="21">
        <v>0.04</v>
      </c>
      <c r="AC547" s="21">
        <v>0</v>
      </c>
      <c r="AD547" s="21">
        <v>0</v>
      </c>
      <c r="AE547" s="21">
        <v>11.21</v>
      </c>
      <c r="AF547" s="21">
        <v>10.98</v>
      </c>
      <c r="AG547" s="21">
        <v>15.3</v>
      </c>
      <c r="AH547" s="18" t="s">
        <v>17</v>
      </c>
      <c r="AI547" s="13" t="str">
        <f>VLOOKUP(AH547,'Hess and Brezowsky'!$B$2:$G$31,2,FALSE)</f>
        <v>Meridional</v>
      </c>
      <c r="AJ547" s="18" t="str">
        <f>VLOOKUP(AH547,'Hess and Brezowsky'!$B$2:$G$31,3,FALSE)</f>
        <v>C</v>
      </c>
      <c r="AK547" s="13" t="str">
        <f>VLOOKUP(AH547,'Hess and Brezowsky'!$B$2:$G$31,4,FALSE)</f>
        <v>Scandinavian High, Trough Central Europe</v>
      </c>
      <c r="AL547" s="29">
        <v>0.31298611111111113</v>
      </c>
      <c r="AM547" s="29">
        <v>0.48841435185185184</v>
      </c>
      <c r="AN547" s="30">
        <v>0.66383101851851856</v>
      </c>
    </row>
    <row r="548" spans="1:40" ht="15.75" customHeight="1" x14ac:dyDescent="0.2">
      <c r="A548" s="27">
        <v>45268</v>
      </c>
      <c r="B548" s="13">
        <v>2023</v>
      </c>
      <c r="C548" s="13">
        <v>342</v>
      </c>
      <c r="D548" s="13">
        <f t="shared" si="23"/>
        <v>6</v>
      </c>
      <c r="E548" s="31" t="s">
        <v>48</v>
      </c>
      <c r="F548" s="13">
        <f t="shared" si="22"/>
        <v>5</v>
      </c>
      <c r="G548" s="14">
        <v>0</v>
      </c>
      <c r="H548" s="14">
        <v>1</v>
      </c>
      <c r="I548" s="14">
        <v>1</v>
      </c>
      <c r="J548" s="14">
        <v>1</v>
      </c>
      <c r="K548" s="14">
        <v>1</v>
      </c>
      <c r="L548" s="14">
        <v>1</v>
      </c>
      <c r="M548" s="15">
        <v>248.399</v>
      </c>
      <c r="N548" s="16" t="str">
        <f t="shared" si="24"/>
        <v>W</v>
      </c>
      <c r="O548" s="17">
        <v>6.7</v>
      </c>
      <c r="P548" s="16" t="s">
        <v>137</v>
      </c>
      <c r="Q548" s="18">
        <v>0.2</v>
      </c>
      <c r="R548" s="19">
        <v>8.42</v>
      </c>
      <c r="S548" s="19">
        <v>6</v>
      </c>
      <c r="T548" s="19">
        <v>11.3</v>
      </c>
      <c r="U548" s="20">
        <v>250.52</v>
      </c>
      <c r="V548" s="16" t="s">
        <v>16</v>
      </c>
      <c r="W548" s="21">
        <v>0</v>
      </c>
      <c r="X548" s="21">
        <v>0</v>
      </c>
      <c r="Y548" s="21">
        <v>0</v>
      </c>
      <c r="Z548" s="21">
        <v>0</v>
      </c>
      <c r="AA548" s="21">
        <v>0</v>
      </c>
      <c r="AB548" s="21">
        <v>0.38</v>
      </c>
      <c r="AC548" s="21">
        <v>0.62</v>
      </c>
      <c r="AD548" s="21">
        <v>0</v>
      </c>
      <c r="AE548" s="21">
        <v>7.8</v>
      </c>
      <c r="AF548" s="21">
        <v>7.64</v>
      </c>
      <c r="AG548" s="21">
        <v>14.4</v>
      </c>
      <c r="AH548" s="18" t="s">
        <v>17</v>
      </c>
      <c r="AI548" s="13" t="str">
        <f>VLOOKUP(AH548,'Hess and Brezowsky'!$B$2:$G$31,2,FALSE)</f>
        <v>Meridional</v>
      </c>
      <c r="AJ548" s="18" t="str">
        <f>VLOOKUP(AH548,'Hess and Brezowsky'!$B$2:$G$31,3,FALSE)</f>
        <v>C</v>
      </c>
      <c r="AK548" s="13" t="str">
        <f>VLOOKUP(AH548,'Hess and Brezowsky'!$B$2:$G$31,4,FALSE)</f>
        <v>Scandinavian High, Trough Central Europe</v>
      </c>
      <c r="AL548" s="29">
        <v>0.31374999999999997</v>
      </c>
      <c r="AM548" s="29">
        <v>0.4887037037037037</v>
      </c>
      <c r="AN548" s="30">
        <v>0.66366898148148146</v>
      </c>
    </row>
    <row r="549" spans="1:40" ht="15.75" customHeight="1" x14ac:dyDescent="0.2">
      <c r="A549" s="27">
        <v>45269</v>
      </c>
      <c r="B549" s="13">
        <v>2023</v>
      </c>
      <c r="C549" s="13">
        <v>343</v>
      </c>
      <c r="D549" s="13">
        <f t="shared" si="23"/>
        <v>7</v>
      </c>
      <c r="E549" s="31" t="s">
        <v>48</v>
      </c>
      <c r="F549" s="13">
        <f t="shared" si="22"/>
        <v>5</v>
      </c>
      <c r="G549" s="14">
        <v>0</v>
      </c>
      <c r="H549" s="14">
        <v>1</v>
      </c>
      <c r="I549" s="14">
        <v>1</v>
      </c>
      <c r="J549" s="14">
        <v>1</v>
      </c>
      <c r="K549" s="14">
        <v>1</v>
      </c>
      <c r="L549" s="14">
        <v>1</v>
      </c>
      <c r="M549" s="15">
        <v>231.267</v>
      </c>
      <c r="N549" s="16" t="str">
        <f t="shared" si="24"/>
        <v>SW</v>
      </c>
      <c r="O549" s="17">
        <v>13.5</v>
      </c>
      <c r="P549" s="16" t="s">
        <v>140</v>
      </c>
      <c r="Q549" s="18">
        <v>17.100000000000001</v>
      </c>
      <c r="R549" s="19">
        <v>9.66</v>
      </c>
      <c r="S549" s="19">
        <v>6</v>
      </c>
      <c r="T549" s="19">
        <v>13.4</v>
      </c>
      <c r="U549" s="20">
        <v>231.24</v>
      </c>
      <c r="V549" s="16" t="s">
        <v>5</v>
      </c>
      <c r="W549" s="21">
        <v>0</v>
      </c>
      <c r="X549" s="21">
        <v>0</v>
      </c>
      <c r="Y549" s="21">
        <v>0</v>
      </c>
      <c r="Z549" s="21">
        <v>0</v>
      </c>
      <c r="AA549" s="21">
        <v>0.28999999999999998</v>
      </c>
      <c r="AB549" s="21">
        <v>0.33</v>
      </c>
      <c r="AC549" s="21">
        <v>0.38</v>
      </c>
      <c r="AD549" s="21">
        <v>0</v>
      </c>
      <c r="AE549" s="21">
        <v>15.54</v>
      </c>
      <c r="AF549" s="21">
        <v>12.52</v>
      </c>
      <c r="AG549" s="21">
        <v>21.6</v>
      </c>
      <c r="AH549" s="18" t="s">
        <v>49</v>
      </c>
      <c r="AI549" s="13" t="str">
        <f>VLOOKUP(AH549,'Hess and Brezowsky'!$B$2:$G$31,2,FALSE)</f>
        <v>Zonal</v>
      </c>
      <c r="AJ549" s="18" t="str">
        <f>VLOOKUP(AH549,'Hess and Brezowsky'!$B$2:$G$31,3,FALSE)</f>
        <v>M</v>
      </c>
      <c r="AK549" s="13" t="str">
        <f>VLOOKUP(AH549,'Hess and Brezowsky'!$B$2:$G$31,4,FALSE)</f>
        <v>Maritime Westerly (Block Eastern Europe)</v>
      </c>
      <c r="AL549" s="29">
        <v>0.31447916666666664</v>
      </c>
      <c r="AM549" s="29">
        <v>0.48900462962962965</v>
      </c>
      <c r="AN549" s="30">
        <v>0.66353009259259255</v>
      </c>
    </row>
    <row r="550" spans="1:40" ht="15.75" customHeight="1" x14ac:dyDescent="0.2">
      <c r="A550" s="27">
        <v>45270</v>
      </c>
      <c r="B550" s="13">
        <v>2023</v>
      </c>
      <c r="C550" s="13">
        <v>344</v>
      </c>
      <c r="D550" s="13">
        <f t="shared" si="23"/>
        <v>1</v>
      </c>
      <c r="E550" s="31" t="s">
        <v>48</v>
      </c>
      <c r="F550" s="13">
        <f t="shared" si="22"/>
        <v>5</v>
      </c>
      <c r="G550" s="14">
        <v>0</v>
      </c>
      <c r="H550" s="14">
        <v>1</v>
      </c>
      <c r="I550" s="14">
        <v>1</v>
      </c>
      <c r="J550" s="14">
        <v>1</v>
      </c>
      <c r="K550" s="14">
        <v>1</v>
      </c>
      <c r="L550" s="14">
        <v>1</v>
      </c>
      <c r="M550" s="15">
        <v>229.90199999999999</v>
      </c>
      <c r="N550" s="16" t="str">
        <f t="shared" si="24"/>
        <v>SW</v>
      </c>
      <c r="O550" s="17">
        <v>11.5</v>
      </c>
      <c r="P550" s="16" t="s">
        <v>137</v>
      </c>
      <c r="Q550" s="18">
        <v>3.6</v>
      </c>
      <c r="R550" s="19">
        <v>10.54</v>
      </c>
      <c r="S550" s="19">
        <v>8.9</v>
      </c>
      <c r="T550" s="19">
        <v>12.7</v>
      </c>
      <c r="U550" s="20">
        <v>229.91</v>
      </c>
      <c r="V550" s="16" t="s">
        <v>5</v>
      </c>
      <c r="W550" s="21">
        <v>0</v>
      </c>
      <c r="X550" s="21">
        <v>0</v>
      </c>
      <c r="Y550" s="21">
        <v>0</v>
      </c>
      <c r="Z550" s="21">
        <v>0</v>
      </c>
      <c r="AA550" s="21">
        <v>0.21</v>
      </c>
      <c r="AB550" s="21">
        <v>0.62</v>
      </c>
      <c r="AC550" s="21">
        <v>0.17</v>
      </c>
      <c r="AD550" s="21">
        <v>0</v>
      </c>
      <c r="AE550" s="21">
        <v>12.54</v>
      </c>
      <c r="AF550" s="21">
        <v>11.66</v>
      </c>
      <c r="AG550" s="21">
        <v>17.899999999999999</v>
      </c>
      <c r="AH550" s="18" t="s">
        <v>49</v>
      </c>
      <c r="AI550" s="13" t="str">
        <f>VLOOKUP(AH550,'Hess and Brezowsky'!$B$2:$G$31,2,FALSE)</f>
        <v>Zonal</v>
      </c>
      <c r="AJ550" s="18" t="str">
        <f>VLOOKUP(AH550,'Hess and Brezowsky'!$B$2:$G$31,3,FALSE)</f>
        <v>M</v>
      </c>
      <c r="AK550" s="13" t="str">
        <f>VLOOKUP(AH550,'Hess and Brezowsky'!$B$2:$G$31,4,FALSE)</f>
        <v>Maritime Westerly (Block Eastern Europe)</v>
      </c>
      <c r="AL550" s="29">
        <v>0.31518518518518518</v>
      </c>
      <c r="AM550" s="29">
        <v>0.48930555555555555</v>
      </c>
      <c r="AN550" s="30">
        <v>0.66342592592592597</v>
      </c>
    </row>
    <row r="551" spans="1:40" ht="15.75" customHeight="1" x14ac:dyDescent="0.2">
      <c r="A551" s="27">
        <v>45271</v>
      </c>
      <c r="B551" s="13">
        <v>2023</v>
      </c>
      <c r="C551" s="13">
        <v>345</v>
      </c>
      <c r="D551" s="13">
        <f t="shared" si="23"/>
        <v>2</v>
      </c>
      <c r="E551" s="31" t="s">
        <v>48</v>
      </c>
      <c r="F551" s="13">
        <f t="shared" si="22"/>
        <v>5</v>
      </c>
      <c r="G551" s="14">
        <v>0</v>
      </c>
      <c r="H551" s="14">
        <v>1</v>
      </c>
      <c r="I551" s="14">
        <v>1</v>
      </c>
      <c r="J551" s="14">
        <v>1</v>
      </c>
      <c r="K551" s="14">
        <v>1</v>
      </c>
      <c r="L551" s="14">
        <v>1</v>
      </c>
      <c r="M551" s="15">
        <v>245.066</v>
      </c>
      <c r="N551" s="16" t="str">
        <f t="shared" si="24"/>
        <v>SW</v>
      </c>
      <c r="O551" s="17">
        <v>8.5</v>
      </c>
      <c r="P551" s="16" t="s">
        <v>137</v>
      </c>
      <c r="Q551" s="18">
        <v>0</v>
      </c>
      <c r="R551" s="19">
        <v>11.2</v>
      </c>
      <c r="S551" s="19">
        <v>10.1</v>
      </c>
      <c r="T551" s="19">
        <v>12.9</v>
      </c>
      <c r="U551" s="20">
        <v>247.81</v>
      </c>
      <c r="V551" s="16" t="s">
        <v>16</v>
      </c>
      <c r="W551" s="21">
        <v>0</v>
      </c>
      <c r="X551" s="21">
        <v>0</v>
      </c>
      <c r="Y551" s="21">
        <v>0</v>
      </c>
      <c r="Z551" s="21">
        <v>0</v>
      </c>
      <c r="AA551" s="21">
        <v>0</v>
      </c>
      <c r="AB551" s="21">
        <v>0.67</v>
      </c>
      <c r="AC551" s="21">
        <v>0.33</v>
      </c>
      <c r="AD551" s="21">
        <v>0</v>
      </c>
      <c r="AE551" s="21">
        <v>9.33</v>
      </c>
      <c r="AF551" s="21">
        <v>9.14</v>
      </c>
      <c r="AG551" s="21">
        <v>15.3</v>
      </c>
      <c r="AH551" s="18" t="s">
        <v>49</v>
      </c>
      <c r="AI551" s="13" t="str">
        <f>VLOOKUP(AH551,'Hess and Brezowsky'!$B$2:$G$31,2,FALSE)</f>
        <v>Zonal</v>
      </c>
      <c r="AJ551" s="18" t="str">
        <f>VLOOKUP(AH551,'Hess and Brezowsky'!$B$2:$G$31,3,FALSE)</f>
        <v>M</v>
      </c>
      <c r="AK551" s="13" t="str">
        <f>VLOOKUP(AH551,'Hess and Brezowsky'!$B$2:$G$31,4,FALSE)</f>
        <v>Maritime Westerly (Block Eastern Europe)</v>
      </c>
      <c r="AL551" s="29">
        <v>0.31586805555555558</v>
      </c>
      <c r="AM551" s="29">
        <v>0.48961805555555554</v>
      </c>
      <c r="AN551" s="30">
        <v>0.66336805555555556</v>
      </c>
    </row>
    <row r="552" spans="1:40" ht="15.75" customHeight="1" x14ac:dyDescent="0.2">
      <c r="A552" s="27">
        <v>45272</v>
      </c>
      <c r="B552" s="13">
        <v>2023</v>
      </c>
      <c r="C552" s="13">
        <v>346</v>
      </c>
      <c r="D552" s="13">
        <f t="shared" si="23"/>
        <v>3</v>
      </c>
      <c r="E552" s="13"/>
      <c r="F552" s="13">
        <f t="shared" si="22"/>
        <v>5</v>
      </c>
      <c r="G552" s="14">
        <v>0</v>
      </c>
      <c r="H552" s="14">
        <v>1</v>
      </c>
      <c r="I552" s="14">
        <v>1</v>
      </c>
      <c r="J552" s="14">
        <v>1</v>
      </c>
      <c r="K552" s="14">
        <v>1</v>
      </c>
      <c r="L552" s="14">
        <v>1</v>
      </c>
      <c r="M552" s="15">
        <v>225.51900000000001</v>
      </c>
      <c r="N552" s="16" t="str">
        <f t="shared" si="24"/>
        <v>SW</v>
      </c>
      <c r="O552" s="17">
        <v>8.5</v>
      </c>
      <c r="P552" s="16" t="s">
        <v>137</v>
      </c>
      <c r="Q552" s="18">
        <v>2</v>
      </c>
      <c r="R552" s="19">
        <v>11.61</v>
      </c>
      <c r="S552" s="19">
        <v>10.4</v>
      </c>
      <c r="T552" s="19">
        <v>12.9</v>
      </c>
      <c r="U552" s="20">
        <v>226.94</v>
      </c>
      <c r="V552" s="16" t="s">
        <v>5</v>
      </c>
      <c r="W552" s="21">
        <v>0</v>
      </c>
      <c r="X552" s="21">
        <v>0</v>
      </c>
      <c r="Y552" s="21">
        <v>0</v>
      </c>
      <c r="Z552" s="21">
        <v>0</v>
      </c>
      <c r="AA552" s="21">
        <v>0.08</v>
      </c>
      <c r="AB552" s="21">
        <v>0.92</v>
      </c>
      <c r="AC552" s="21">
        <v>0</v>
      </c>
      <c r="AD552" s="21">
        <v>0</v>
      </c>
      <c r="AE552" s="21">
        <v>8.32</v>
      </c>
      <c r="AF552" s="21">
        <v>8.2200000000000006</v>
      </c>
      <c r="AG552" s="21">
        <v>13.7</v>
      </c>
      <c r="AH552" s="18" t="s">
        <v>47</v>
      </c>
      <c r="AI552" s="13" t="str">
        <f>VLOOKUP(AH552,'Hess and Brezowsky'!$B$2:$G$31,2,FALSE)</f>
        <v>Zonal</v>
      </c>
      <c r="AJ552" s="18" t="str">
        <f>VLOOKUP(AH552,'Hess and Brezowsky'!$B$2:$G$31,3,FALSE)</f>
        <v>M</v>
      </c>
      <c r="AK552" s="13" t="str">
        <f>VLOOKUP(AH552,'Hess and Brezowsky'!$B$2:$G$31,4,FALSE)</f>
        <v>South-Shifted Westerly</v>
      </c>
      <c r="AL552" s="29">
        <v>0.3165277777777778</v>
      </c>
      <c r="AM552" s="29">
        <v>0.48993055555555554</v>
      </c>
      <c r="AN552" s="30">
        <v>0.66333333333333333</v>
      </c>
    </row>
    <row r="553" spans="1:40" ht="15.75" customHeight="1" x14ac:dyDescent="0.2">
      <c r="A553" s="27">
        <v>45273</v>
      </c>
      <c r="B553" s="13">
        <v>2023</v>
      </c>
      <c r="C553" s="13">
        <v>347</v>
      </c>
      <c r="D553" s="13">
        <f t="shared" si="23"/>
        <v>4</v>
      </c>
      <c r="E553" s="13"/>
      <c r="F553" s="13">
        <f t="shared" si="22"/>
        <v>5</v>
      </c>
      <c r="G553" s="14">
        <v>0</v>
      </c>
      <c r="H553" s="14">
        <v>1</v>
      </c>
      <c r="I553" s="14">
        <v>1</v>
      </c>
      <c r="J553" s="14">
        <v>1</v>
      </c>
      <c r="K553" s="14">
        <v>1</v>
      </c>
      <c r="L553" s="14">
        <v>1</v>
      </c>
      <c r="M553" s="15">
        <v>277.81599999999997</v>
      </c>
      <c r="N553" s="16" t="str">
        <f t="shared" si="24"/>
        <v>W</v>
      </c>
      <c r="O553" s="17">
        <v>8.1</v>
      </c>
      <c r="P553" s="16" t="s">
        <v>137</v>
      </c>
      <c r="Q553" s="18">
        <v>2.2000000000000002</v>
      </c>
      <c r="R553" s="19">
        <v>8.84</v>
      </c>
      <c r="S553" s="19">
        <v>7.6</v>
      </c>
      <c r="T553" s="19">
        <v>10.4</v>
      </c>
      <c r="U553" s="20">
        <v>274.94</v>
      </c>
      <c r="V553" s="16" t="s">
        <v>16</v>
      </c>
      <c r="W553" s="21">
        <v>0</v>
      </c>
      <c r="X553" s="21">
        <v>0</v>
      </c>
      <c r="Y553" s="21">
        <v>0</v>
      </c>
      <c r="Z553" s="21">
        <v>0</v>
      </c>
      <c r="AA553" s="21">
        <v>0</v>
      </c>
      <c r="AB553" s="21">
        <v>0.28999999999999998</v>
      </c>
      <c r="AC553" s="21">
        <v>0.25</v>
      </c>
      <c r="AD553" s="21">
        <v>0.46</v>
      </c>
      <c r="AE553" s="21">
        <v>9.75</v>
      </c>
      <c r="AF553" s="21">
        <v>8.4</v>
      </c>
      <c r="AG553" s="21">
        <v>13.8</v>
      </c>
      <c r="AH553" s="18" t="s">
        <v>47</v>
      </c>
      <c r="AI553" s="13" t="str">
        <f>VLOOKUP(AH553,'Hess and Brezowsky'!$B$2:$G$31,2,FALSE)</f>
        <v>Zonal</v>
      </c>
      <c r="AJ553" s="18" t="str">
        <f>VLOOKUP(AH553,'Hess and Brezowsky'!$B$2:$G$31,3,FALSE)</f>
        <v>M</v>
      </c>
      <c r="AK553" s="13" t="str">
        <f>VLOOKUP(AH553,'Hess and Brezowsky'!$B$2:$G$31,4,FALSE)</f>
        <v>South-Shifted Westerly</v>
      </c>
      <c r="AL553" s="29">
        <v>0.31715277777777778</v>
      </c>
      <c r="AM553" s="29">
        <v>0.49024305555555553</v>
      </c>
      <c r="AN553" s="30">
        <v>0.66333333333333333</v>
      </c>
    </row>
    <row r="554" spans="1:40" ht="15.75" customHeight="1" x14ac:dyDescent="0.2">
      <c r="A554" s="27">
        <v>45274</v>
      </c>
      <c r="B554" s="13">
        <v>2023</v>
      </c>
      <c r="C554" s="13">
        <v>348</v>
      </c>
      <c r="D554" s="13">
        <f t="shared" si="23"/>
        <v>5</v>
      </c>
      <c r="E554" s="13"/>
      <c r="F554" s="13">
        <f t="shared" si="22"/>
        <v>5</v>
      </c>
      <c r="G554" s="14">
        <v>0</v>
      </c>
      <c r="H554" s="14">
        <v>1</v>
      </c>
      <c r="I554" s="14">
        <v>1</v>
      </c>
      <c r="J554" s="14">
        <v>1</v>
      </c>
      <c r="K554" s="14">
        <v>1</v>
      </c>
      <c r="L554" s="14">
        <v>1</v>
      </c>
      <c r="M554" s="15">
        <v>302.39100000000002</v>
      </c>
      <c r="N554" s="16" t="str">
        <f t="shared" si="24"/>
        <v>NW</v>
      </c>
      <c r="O554" s="17">
        <v>7.1</v>
      </c>
      <c r="P554" s="16" t="s">
        <v>137</v>
      </c>
      <c r="Q554" s="18">
        <v>0.8</v>
      </c>
      <c r="R554" s="19">
        <v>8.17</v>
      </c>
      <c r="S554" s="19">
        <v>7.7</v>
      </c>
      <c r="T554" s="19">
        <v>8.6999999999999993</v>
      </c>
      <c r="U554" s="20">
        <v>297.56</v>
      </c>
      <c r="V554" s="16" t="s">
        <v>6</v>
      </c>
      <c r="W554" s="21">
        <v>0</v>
      </c>
      <c r="X554" s="21">
        <v>0</v>
      </c>
      <c r="Y554" s="21">
        <v>0</v>
      </c>
      <c r="Z554" s="21">
        <v>0</v>
      </c>
      <c r="AA554" s="21">
        <v>0</v>
      </c>
      <c r="AB554" s="21">
        <v>0.17</v>
      </c>
      <c r="AC554" s="21">
        <v>0.25</v>
      </c>
      <c r="AD554" s="21">
        <v>0.57999999999999996</v>
      </c>
      <c r="AE554" s="21">
        <v>8.3699999999999992</v>
      </c>
      <c r="AF554" s="21">
        <v>7.45</v>
      </c>
      <c r="AG554" s="21">
        <v>14.3</v>
      </c>
      <c r="AH554" s="18" t="s">
        <v>47</v>
      </c>
      <c r="AI554" s="13" t="str">
        <f>VLOOKUP(AH554,'Hess and Brezowsky'!$B$2:$G$31,2,FALSE)</f>
        <v>Zonal</v>
      </c>
      <c r="AJ554" s="18" t="str">
        <f>VLOOKUP(AH554,'Hess and Brezowsky'!$B$2:$G$31,3,FALSE)</f>
        <v>M</v>
      </c>
      <c r="AK554" s="13" t="str">
        <f>VLOOKUP(AH554,'Hess and Brezowsky'!$B$2:$G$31,4,FALSE)</f>
        <v>South-Shifted Westerly</v>
      </c>
      <c r="AL554" s="29">
        <v>0.31775462962962964</v>
      </c>
      <c r="AM554" s="29">
        <v>0.49056712962962962</v>
      </c>
      <c r="AN554" s="30">
        <v>0.66336805555555556</v>
      </c>
    </row>
    <row r="555" spans="1:40" ht="15.75" customHeight="1" x14ac:dyDescent="0.2">
      <c r="A555" s="27">
        <v>45275</v>
      </c>
      <c r="B555" s="13">
        <v>2023</v>
      </c>
      <c r="C555" s="13">
        <v>349</v>
      </c>
      <c r="D555" s="13">
        <f t="shared" si="23"/>
        <v>6</v>
      </c>
      <c r="E555" s="13"/>
      <c r="F555" s="13">
        <f t="shared" si="22"/>
        <v>5</v>
      </c>
      <c r="G555" s="14">
        <v>0</v>
      </c>
      <c r="H555" s="14">
        <v>1</v>
      </c>
      <c r="I555" s="14">
        <v>1</v>
      </c>
      <c r="J555" s="14">
        <v>1</v>
      </c>
      <c r="K555" s="14">
        <v>1</v>
      </c>
      <c r="L555" s="14">
        <v>1</v>
      </c>
      <c r="M555" s="15">
        <v>317.75900000000001</v>
      </c>
      <c r="N555" s="16" t="str">
        <f t="shared" si="24"/>
        <v>NW</v>
      </c>
      <c r="O555" s="17">
        <v>4.3</v>
      </c>
      <c r="P555" s="16" t="s">
        <v>137</v>
      </c>
      <c r="Q555" s="18">
        <v>0.6</v>
      </c>
      <c r="R555" s="19">
        <v>9.25</v>
      </c>
      <c r="S555" s="19">
        <v>7.8</v>
      </c>
      <c r="T555" s="19">
        <v>10.9</v>
      </c>
      <c r="U555" s="20">
        <v>314.17</v>
      </c>
      <c r="V555" s="16" t="s">
        <v>6</v>
      </c>
      <c r="W555" s="21">
        <v>0.12</v>
      </c>
      <c r="X555" s="21">
        <v>0.04</v>
      </c>
      <c r="Y555" s="21">
        <v>0</v>
      </c>
      <c r="Z555" s="21">
        <v>0</v>
      </c>
      <c r="AA555" s="21">
        <v>0</v>
      </c>
      <c r="AB555" s="21">
        <v>0</v>
      </c>
      <c r="AC555" s="21">
        <v>0.25</v>
      </c>
      <c r="AD555" s="21">
        <v>0.57999999999999996</v>
      </c>
      <c r="AE555" s="21">
        <v>5.07</v>
      </c>
      <c r="AF555" s="21">
        <v>4.47</v>
      </c>
      <c r="AG555" s="21">
        <v>7.7</v>
      </c>
      <c r="AH555" s="18" t="s">
        <v>12</v>
      </c>
      <c r="AI555" s="13" t="str">
        <f>VLOOKUP(AH555,'Hess and Brezowsky'!$B$2:$G$31,2,FALSE)</f>
        <v>Undefined</v>
      </c>
      <c r="AJ555" s="18" t="str">
        <f>VLOOKUP(AH555,'Hess and Brezowsky'!$B$2:$G$31,3,FALSE)</f>
        <v>M</v>
      </c>
      <c r="AK555" s="13" t="str">
        <f>VLOOKUP(AH555,'Hess and Brezowsky'!$B$2:$G$31,4,FALSE)</f>
        <v>Transistion / Undefined</v>
      </c>
      <c r="AL555" s="29">
        <v>0.31832175925925926</v>
      </c>
      <c r="AM555" s="29">
        <v>0.49087962962962961</v>
      </c>
      <c r="AN555" s="30">
        <v>0.66344907407407405</v>
      </c>
    </row>
    <row r="556" spans="1:40" ht="15.75" customHeight="1" x14ac:dyDescent="0.2">
      <c r="A556" s="27">
        <v>45276</v>
      </c>
      <c r="B556" s="13">
        <v>2023</v>
      </c>
      <c r="C556" s="13">
        <v>350</v>
      </c>
      <c r="D556" s="13">
        <f t="shared" si="23"/>
        <v>7</v>
      </c>
      <c r="E556" s="32" t="s">
        <v>50</v>
      </c>
      <c r="F556" s="13">
        <f t="shared" si="22"/>
        <v>5</v>
      </c>
      <c r="G556" s="14">
        <v>0</v>
      </c>
      <c r="H556" s="14">
        <v>1</v>
      </c>
      <c r="I556" s="14">
        <v>1</v>
      </c>
      <c r="J556" s="14">
        <v>1</v>
      </c>
      <c r="K556" s="14">
        <v>1</v>
      </c>
      <c r="L556" s="14">
        <v>1</v>
      </c>
      <c r="M556" s="15">
        <v>245.29499999999999</v>
      </c>
      <c r="N556" s="16" t="str">
        <f t="shared" si="24"/>
        <v>SW</v>
      </c>
      <c r="O556" s="17">
        <v>2.6</v>
      </c>
      <c r="P556" s="16" t="s">
        <v>138</v>
      </c>
      <c r="Q556" s="18">
        <v>0</v>
      </c>
      <c r="R556" s="19">
        <v>7.18</v>
      </c>
      <c r="S556" s="19">
        <v>3.1</v>
      </c>
      <c r="T556" s="19">
        <v>11.7</v>
      </c>
      <c r="U556" s="20">
        <v>267.51</v>
      </c>
      <c r="V556" s="16" t="s">
        <v>16</v>
      </c>
      <c r="W556" s="21">
        <v>0.04</v>
      </c>
      <c r="X556" s="21">
        <v>0</v>
      </c>
      <c r="Y556" s="21">
        <v>0.04</v>
      </c>
      <c r="Z556" s="21">
        <v>0</v>
      </c>
      <c r="AA556" s="21">
        <v>0.04</v>
      </c>
      <c r="AB556" s="21">
        <v>0.28999999999999998</v>
      </c>
      <c r="AC556" s="21">
        <v>0.42</v>
      </c>
      <c r="AD556" s="21">
        <v>0.17</v>
      </c>
      <c r="AE556" s="21">
        <v>2.06</v>
      </c>
      <c r="AF556" s="21">
        <v>1.41</v>
      </c>
      <c r="AG556" s="21">
        <v>5.4</v>
      </c>
      <c r="AH556" s="18" t="s">
        <v>31</v>
      </c>
      <c r="AI556" s="13" t="str">
        <f>VLOOKUP(AH556,'Hess and Brezowsky'!$B$2:$G$31,2,FALSE)</f>
        <v>Zonal</v>
      </c>
      <c r="AJ556" s="18" t="str">
        <f>VLOOKUP(AH556,'Hess and Brezowsky'!$B$2:$G$31,3,FALSE)</f>
        <v>A</v>
      </c>
      <c r="AK556" s="13" t="str">
        <f>VLOOKUP(AH556,'Hess and Brezowsky'!$B$2:$G$31,4,FALSE)</f>
        <v>Anticyclonic Westerly</v>
      </c>
      <c r="AL556" s="29">
        <v>0.31886574074074076</v>
      </c>
      <c r="AM556" s="29">
        <v>0.49121527777777779</v>
      </c>
      <c r="AN556" s="30">
        <v>0.66355324074074074</v>
      </c>
    </row>
    <row r="557" spans="1:40" ht="15.75" customHeight="1" x14ac:dyDescent="0.2">
      <c r="A557" s="27">
        <v>45277</v>
      </c>
      <c r="B557" s="13">
        <v>2023</v>
      </c>
      <c r="C557" s="13">
        <v>351</v>
      </c>
      <c r="D557" s="13">
        <f t="shared" si="23"/>
        <v>1</v>
      </c>
      <c r="E557" s="13"/>
      <c r="F557" s="13">
        <f t="shared" si="22"/>
        <v>5</v>
      </c>
      <c r="G557" s="14">
        <v>0</v>
      </c>
      <c r="H557" s="14">
        <v>1</v>
      </c>
      <c r="I557" s="14">
        <v>1</v>
      </c>
      <c r="J557" s="14">
        <v>1</v>
      </c>
      <c r="K557" s="14">
        <v>1</v>
      </c>
      <c r="L557" s="14">
        <v>0.75</v>
      </c>
      <c r="M557" s="15">
        <v>179.095</v>
      </c>
      <c r="N557" s="16" t="str">
        <f t="shared" si="24"/>
        <v>S</v>
      </c>
      <c r="O557" s="17">
        <v>4.2</v>
      </c>
      <c r="P557" s="16" t="s">
        <v>138</v>
      </c>
      <c r="Q557" s="18">
        <v>0</v>
      </c>
      <c r="R557" s="19">
        <v>2.75</v>
      </c>
      <c r="S557" s="19">
        <v>0.5</v>
      </c>
      <c r="T557" s="19">
        <v>5.3</v>
      </c>
      <c r="U557" s="20">
        <v>187.13</v>
      </c>
      <c r="V557" s="16" t="s">
        <v>13</v>
      </c>
      <c r="W557" s="21">
        <v>0</v>
      </c>
      <c r="X557" s="21">
        <v>0</v>
      </c>
      <c r="Y557" s="21">
        <v>0</v>
      </c>
      <c r="Z557" s="21">
        <v>0</v>
      </c>
      <c r="AA557" s="21">
        <v>0.75</v>
      </c>
      <c r="AB557" s="21">
        <v>0.21</v>
      </c>
      <c r="AC557" s="21">
        <v>0.04</v>
      </c>
      <c r="AD557" s="21">
        <v>0</v>
      </c>
      <c r="AE557" s="21">
        <v>5.6</v>
      </c>
      <c r="AF557" s="21">
        <v>5.14</v>
      </c>
      <c r="AG557" s="21">
        <v>10.6</v>
      </c>
      <c r="AH557" s="18" t="s">
        <v>31</v>
      </c>
      <c r="AI557" s="13" t="str">
        <f>VLOOKUP(AH557,'Hess and Brezowsky'!$B$2:$G$31,2,FALSE)</f>
        <v>Zonal</v>
      </c>
      <c r="AJ557" s="18" t="str">
        <f>VLOOKUP(AH557,'Hess and Brezowsky'!$B$2:$G$31,3,FALSE)</f>
        <v>A</v>
      </c>
      <c r="AK557" s="13" t="str">
        <f>VLOOKUP(AH557,'Hess and Brezowsky'!$B$2:$G$31,4,FALSE)</f>
        <v>Anticyclonic Westerly</v>
      </c>
      <c r="AL557" s="29">
        <v>0.31937500000000002</v>
      </c>
      <c r="AM557" s="29">
        <v>0.49153935185185182</v>
      </c>
      <c r="AN557" s="30">
        <v>0.66369212962962965</v>
      </c>
    </row>
    <row r="558" spans="1:40" ht="15.75" customHeight="1" x14ac:dyDescent="0.2">
      <c r="A558" s="27">
        <v>45278</v>
      </c>
      <c r="B558" s="13">
        <v>2023</v>
      </c>
      <c r="C558" s="13">
        <v>352</v>
      </c>
      <c r="D558" s="13">
        <f t="shared" si="23"/>
        <v>2</v>
      </c>
      <c r="E558" s="13"/>
      <c r="F558" s="13">
        <f t="shared" si="22"/>
        <v>5</v>
      </c>
      <c r="G558" s="14">
        <v>0</v>
      </c>
      <c r="H558" s="14">
        <v>1</v>
      </c>
      <c r="I558" s="14">
        <v>0.75</v>
      </c>
      <c r="J558" s="14">
        <v>1</v>
      </c>
      <c r="K558" s="14">
        <v>1</v>
      </c>
      <c r="L558" s="14">
        <v>0.79</v>
      </c>
      <c r="M558" s="15">
        <v>230.79300000000001</v>
      </c>
      <c r="N558" s="16" t="str">
        <f t="shared" si="24"/>
        <v>SW</v>
      </c>
      <c r="O558" s="17">
        <v>4.2</v>
      </c>
      <c r="P558" s="16" t="s">
        <v>140</v>
      </c>
      <c r="Q558" s="18">
        <v>0</v>
      </c>
      <c r="R558" s="19">
        <v>1.9</v>
      </c>
      <c r="S558" s="19">
        <v>0.7</v>
      </c>
      <c r="T558" s="19">
        <v>3.2</v>
      </c>
      <c r="U558" s="20">
        <v>239.4</v>
      </c>
      <c r="V558" s="16" t="s">
        <v>5</v>
      </c>
      <c r="W558" s="21">
        <v>0</v>
      </c>
      <c r="X558" s="21">
        <v>0</v>
      </c>
      <c r="Y558" s="21">
        <v>0</v>
      </c>
      <c r="Z558" s="21">
        <v>0</v>
      </c>
      <c r="AA558" s="21">
        <v>0.04</v>
      </c>
      <c r="AB558" s="21">
        <v>0.67</v>
      </c>
      <c r="AC558" s="21">
        <v>0.28999999999999998</v>
      </c>
      <c r="AD558" s="21">
        <v>0</v>
      </c>
      <c r="AE558" s="21">
        <v>3.82</v>
      </c>
      <c r="AF558" s="21">
        <v>3.7</v>
      </c>
      <c r="AG558" s="21">
        <v>8</v>
      </c>
      <c r="AH558" s="18" t="s">
        <v>31</v>
      </c>
      <c r="AI558" s="13" t="str">
        <f>VLOOKUP(AH558,'Hess and Brezowsky'!$B$2:$G$31,2,FALSE)</f>
        <v>Zonal</v>
      </c>
      <c r="AJ558" s="18" t="str">
        <f>VLOOKUP(AH558,'Hess and Brezowsky'!$B$2:$G$31,3,FALSE)</f>
        <v>A</v>
      </c>
      <c r="AK558" s="13" t="str">
        <f>VLOOKUP(AH558,'Hess and Brezowsky'!$B$2:$G$31,4,FALSE)</f>
        <v>Anticyclonic Westerly</v>
      </c>
      <c r="AL558" s="29">
        <v>0.3198611111111111</v>
      </c>
      <c r="AM558" s="29">
        <v>0.49186342592592591</v>
      </c>
      <c r="AN558" s="30">
        <v>0.66387731481481482</v>
      </c>
    </row>
    <row r="559" spans="1:40" ht="15.75" customHeight="1" x14ac:dyDescent="0.2">
      <c r="A559" s="27">
        <v>45279</v>
      </c>
      <c r="B559" s="13">
        <v>2023</v>
      </c>
      <c r="C559" s="13">
        <v>353</v>
      </c>
      <c r="D559" s="13">
        <f t="shared" si="23"/>
        <v>3</v>
      </c>
      <c r="E559" s="13"/>
      <c r="F559" s="13">
        <f t="shared" si="22"/>
        <v>5</v>
      </c>
      <c r="G559" s="14">
        <v>0</v>
      </c>
      <c r="H559" s="14">
        <v>1</v>
      </c>
      <c r="I559" s="14">
        <v>1</v>
      </c>
      <c r="J559" s="14">
        <v>1</v>
      </c>
      <c r="K559" s="14">
        <v>1</v>
      </c>
      <c r="L559" s="14">
        <v>1</v>
      </c>
      <c r="M559" s="15">
        <v>235.648</v>
      </c>
      <c r="N559" s="16" t="str">
        <f t="shared" si="24"/>
        <v>SW</v>
      </c>
      <c r="O559" s="17">
        <v>9.5</v>
      </c>
      <c r="P559" s="16" t="s">
        <v>137</v>
      </c>
      <c r="Q559" s="18">
        <v>2.2000000000000002</v>
      </c>
      <c r="R559" s="19">
        <v>6.73</v>
      </c>
      <c r="S559" s="19">
        <v>3.2</v>
      </c>
      <c r="T559" s="19">
        <v>9.8000000000000007</v>
      </c>
      <c r="U559" s="20">
        <v>240.41</v>
      </c>
      <c r="V559" s="16" t="s">
        <v>5</v>
      </c>
      <c r="W559" s="21">
        <v>0</v>
      </c>
      <c r="X559" s="21">
        <v>0</v>
      </c>
      <c r="Y559" s="21">
        <v>0</v>
      </c>
      <c r="Z559" s="21">
        <v>0</v>
      </c>
      <c r="AA559" s="21">
        <v>0</v>
      </c>
      <c r="AB559" s="21">
        <v>0.83</v>
      </c>
      <c r="AC559" s="21">
        <v>0.04</v>
      </c>
      <c r="AD559" s="21">
        <v>0.12</v>
      </c>
      <c r="AE559" s="21">
        <v>9.36</v>
      </c>
      <c r="AF559" s="21">
        <v>8.1</v>
      </c>
      <c r="AG559" s="21">
        <v>15.9</v>
      </c>
      <c r="AH559" s="18" t="s">
        <v>31</v>
      </c>
      <c r="AI559" s="13" t="str">
        <f>VLOOKUP(AH559,'Hess and Brezowsky'!$B$2:$G$31,2,FALSE)</f>
        <v>Zonal</v>
      </c>
      <c r="AJ559" s="18" t="str">
        <f>VLOOKUP(AH559,'Hess and Brezowsky'!$B$2:$G$31,3,FALSE)</f>
        <v>A</v>
      </c>
      <c r="AK559" s="13" t="str">
        <f>VLOOKUP(AH559,'Hess and Brezowsky'!$B$2:$G$31,4,FALSE)</f>
        <v>Anticyclonic Westerly</v>
      </c>
      <c r="AL559" s="29">
        <v>0.32030092592592591</v>
      </c>
      <c r="AM559" s="29">
        <v>0.49219907407407409</v>
      </c>
      <c r="AN559" s="30">
        <v>0.66408564814814819</v>
      </c>
    </row>
    <row r="560" spans="1:40" ht="15.75" customHeight="1" x14ac:dyDescent="0.2">
      <c r="A560" s="27">
        <v>45280</v>
      </c>
      <c r="B560" s="13">
        <v>2023</v>
      </c>
      <c r="C560" s="13">
        <v>354</v>
      </c>
      <c r="D560" s="13">
        <f t="shared" si="23"/>
        <v>4</v>
      </c>
      <c r="E560" s="13"/>
      <c r="F560" s="13">
        <f t="shared" si="22"/>
        <v>4</v>
      </c>
      <c r="G560" s="14">
        <v>0</v>
      </c>
      <c r="H560" s="14">
        <v>1</v>
      </c>
      <c r="I560" s="14">
        <v>0.33</v>
      </c>
      <c r="J560" s="14">
        <v>1</v>
      </c>
      <c r="K560" s="14">
        <v>1</v>
      </c>
      <c r="L560" s="14">
        <v>1</v>
      </c>
      <c r="M560" s="15">
        <v>277.161</v>
      </c>
      <c r="N560" s="16" t="str">
        <f t="shared" si="24"/>
        <v>W</v>
      </c>
      <c r="O560" s="17">
        <v>9.3000000000000007</v>
      </c>
      <c r="P560" s="16" t="s">
        <v>137</v>
      </c>
      <c r="Q560" s="18">
        <v>0</v>
      </c>
      <c r="R560" s="19">
        <v>8.41</v>
      </c>
      <c r="S560" s="19">
        <v>5.7</v>
      </c>
      <c r="T560" s="19">
        <v>9.9</v>
      </c>
      <c r="U560" s="20">
        <v>274.8</v>
      </c>
      <c r="V560" s="16" t="s">
        <v>16</v>
      </c>
      <c r="W560" s="21">
        <v>0</v>
      </c>
      <c r="X560" s="21">
        <v>0</v>
      </c>
      <c r="Y560" s="21">
        <v>0</v>
      </c>
      <c r="Z560" s="21">
        <v>0</v>
      </c>
      <c r="AA560" s="21">
        <v>0</v>
      </c>
      <c r="AB560" s="21">
        <v>0</v>
      </c>
      <c r="AC560" s="21">
        <v>0.83</v>
      </c>
      <c r="AD560" s="21">
        <v>0.17</v>
      </c>
      <c r="AE560" s="21">
        <v>11.86</v>
      </c>
      <c r="AF560" s="21">
        <v>11.28</v>
      </c>
      <c r="AG560" s="21">
        <v>15.3</v>
      </c>
      <c r="AH560" s="18" t="s">
        <v>29</v>
      </c>
      <c r="AI560" s="13" t="str">
        <f>VLOOKUP(AH560,'Hess and Brezowsky'!$B$2:$G$31,2,FALSE)</f>
        <v>Mixed</v>
      </c>
      <c r="AJ560" s="18" t="str">
        <f>VLOOKUP(AH560,'Hess and Brezowsky'!$B$2:$G$31,3,FALSE)</f>
        <v>C</v>
      </c>
      <c r="AK560" s="13" t="str">
        <f>VLOOKUP(AH560,'Hess and Brezowsky'!$B$2:$G$31,4,FALSE)</f>
        <v>Cyclonic North-Westerly</v>
      </c>
      <c r="AL560" s="29">
        <v>0.32071759259259258</v>
      </c>
      <c r="AM560" s="29">
        <v>0.49252314814814813</v>
      </c>
      <c r="AN560" s="30">
        <v>0.66434027777777782</v>
      </c>
    </row>
    <row r="561" spans="1:40" ht="15.75" customHeight="1" x14ac:dyDescent="0.2">
      <c r="A561" s="27">
        <v>45281</v>
      </c>
      <c r="B561" s="13">
        <v>2023</v>
      </c>
      <c r="C561" s="13">
        <v>355</v>
      </c>
      <c r="D561" s="13">
        <f t="shared" si="23"/>
        <v>5</v>
      </c>
      <c r="E561" s="13"/>
      <c r="F561" s="13">
        <f t="shared" si="22"/>
        <v>4</v>
      </c>
      <c r="G561" s="14">
        <v>0</v>
      </c>
      <c r="H561" s="14">
        <v>1</v>
      </c>
      <c r="I561" s="14">
        <v>0</v>
      </c>
      <c r="J561" s="14">
        <v>1</v>
      </c>
      <c r="K561" s="14">
        <v>1</v>
      </c>
      <c r="L561" s="14">
        <v>1</v>
      </c>
      <c r="M561" s="15">
        <v>273.84699999999998</v>
      </c>
      <c r="N561" s="16" t="str">
        <f t="shared" si="24"/>
        <v>W</v>
      </c>
      <c r="O561" s="17">
        <v>12.3</v>
      </c>
      <c r="P561" s="16" t="s">
        <v>140</v>
      </c>
      <c r="Q561" s="18">
        <v>0.4</v>
      </c>
      <c r="R561" s="19">
        <v>11.1</v>
      </c>
      <c r="S561" s="19">
        <v>9.4</v>
      </c>
      <c r="T561" s="19">
        <v>12.2</v>
      </c>
      <c r="U561" s="20">
        <v>269.33</v>
      </c>
      <c r="V561" s="16" t="s">
        <v>16</v>
      </c>
      <c r="W561" s="21">
        <v>0</v>
      </c>
      <c r="X561" s="21">
        <v>0</v>
      </c>
      <c r="Y561" s="21">
        <v>0</v>
      </c>
      <c r="Z561" s="21">
        <v>0</v>
      </c>
      <c r="AA561" s="21">
        <v>0</v>
      </c>
      <c r="AB561" s="21">
        <v>0</v>
      </c>
      <c r="AC561" s="21">
        <v>1</v>
      </c>
      <c r="AD561" s="21">
        <v>0</v>
      </c>
      <c r="AE561" s="21">
        <v>15.58</v>
      </c>
      <c r="AF561" s="21">
        <v>15.2</v>
      </c>
      <c r="AG561" s="21">
        <v>19.7</v>
      </c>
      <c r="AH561" s="18" t="s">
        <v>29</v>
      </c>
      <c r="AI561" s="13" t="str">
        <f>VLOOKUP(AH561,'Hess and Brezowsky'!$B$2:$G$31,2,FALSE)</f>
        <v>Mixed</v>
      </c>
      <c r="AJ561" s="18" t="str">
        <f>VLOOKUP(AH561,'Hess and Brezowsky'!$B$2:$G$31,3,FALSE)</f>
        <v>C</v>
      </c>
      <c r="AK561" s="13" t="str">
        <f>VLOOKUP(AH561,'Hess and Brezowsky'!$B$2:$G$31,4,FALSE)</f>
        <v>Cyclonic North-Westerly</v>
      </c>
      <c r="AL561" s="29">
        <v>0.32111111111111112</v>
      </c>
      <c r="AM561" s="29">
        <v>0.49285879629629631</v>
      </c>
      <c r="AN561" s="30">
        <v>0.66461805555555553</v>
      </c>
    </row>
    <row r="562" spans="1:40" ht="15.75" customHeight="1" x14ac:dyDescent="0.2">
      <c r="A562" s="27">
        <v>45282</v>
      </c>
      <c r="B562" s="13">
        <v>2023</v>
      </c>
      <c r="C562" s="13">
        <v>356</v>
      </c>
      <c r="D562" s="13">
        <f t="shared" si="23"/>
        <v>6</v>
      </c>
      <c r="E562" s="13"/>
      <c r="F562" s="13">
        <f t="shared" si="22"/>
        <v>5</v>
      </c>
      <c r="G562" s="14">
        <v>0</v>
      </c>
      <c r="H562" s="14">
        <v>1</v>
      </c>
      <c r="I562" s="14">
        <v>1</v>
      </c>
      <c r="J562" s="14">
        <v>1</v>
      </c>
      <c r="K562" s="14">
        <v>1</v>
      </c>
      <c r="L562" s="14">
        <v>1</v>
      </c>
      <c r="M562" s="15">
        <v>282.54599999999999</v>
      </c>
      <c r="N562" s="16" t="str">
        <f t="shared" si="24"/>
        <v>W</v>
      </c>
      <c r="O562" s="17">
        <v>11.8</v>
      </c>
      <c r="P562" s="16" t="s">
        <v>140</v>
      </c>
      <c r="Q562" s="18">
        <v>1</v>
      </c>
      <c r="R562" s="19">
        <v>10.45</v>
      </c>
      <c r="S562" s="19">
        <v>9.1</v>
      </c>
      <c r="T562" s="19">
        <v>11.7</v>
      </c>
      <c r="U562" s="20">
        <v>277.82</v>
      </c>
      <c r="V562" s="16" t="s">
        <v>16</v>
      </c>
      <c r="W562" s="21">
        <v>0</v>
      </c>
      <c r="X562" s="21">
        <v>0</v>
      </c>
      <c r="Y562" s="21">
        <v>0</v>
      </c>
      <c r="Z562" s="21">
        <v>0</v>
      </c>
      <c r="AA562" s="21">
        <v>0</v>
      </c>
      <c r="AB562" s="21">
        <v>0</v>
      </c>
      <c r="AC562" s="21">
        <v>1</v>
      </c>
      <c r="AD562" s="21">
        <v>0</v>
      </c>
      <c r="AE562" s="21">
        <v>14.62</v>
      </c>
      <c r="AF562" s="21">
        <v>14.59</v>
      </c>
      <c r="AG562" s="21">
        <v>18.7</v>
      </c>
      <c r="AH562" s="18" t="s">
        <v>29</v>
      </c>
      <c r="AI562" s="13" t="str">
        <f>VLOOKUP(AH562,'Hess and Brezowsky'!$B$2:$G$31,2,FALSE)</f>
        <v>Mixed</v>
      </c>
      <c r="AJ562" s="18" t="str">
        <f>VLOOKUP(AH562,'Hess and Brezowsky'!$B$2:$G$31,3,FALSE)</f>
        <v>C</v>
      </c>
      <c r="AK562" s="13" t="str">
        <f>VLOOKUP(AH562,'Hess and Brezowsky'!$B$2:$G$31,4,FALSE)</f>
        <v>Cyclonic North-Westerly</v>
      </c>
      <c r="AL562" s="29">
        <v>0.32145833333333335</v>
      </c>
      <c r="AM562" s="29">
        <v>0.49319444444444444</v>
      </c>
      <c r="AN562" s="30">
        <v>0.66493055555555558</v>
      </c>
    </row>
    <row r="563" spans="1:40" ht="15.75" customHeight="1" x14ac:dyDescent="0.2">
      <c r="A563" s="27">
        <v>45283</v>
      </c>
      <c r="B563" s="13">
        <v>2023</v>
      </c>
      <c r="C563" s="13">
        <v>357</v>
      </c>
      <c r="D563" s="13">
        <f t="shared" si="23"/>
        <v>7</v>
      </c>
      <c r="E563" s="13"/>
      <c r="F563" s="13">
        <f t="shared" si="22"/>
        <v>5</v>
      </c>
      <c r="G563" s="14">
        <v>0</v>
      </c>
      <c r="H563" s="14">
        <v>1</v>
      </c>
      <c r="I563" s="14">
        <v>1</v>
      </c>
      <c r="J563" s="14">
        <v>1</v>
      </c>
      <c r="K563" s="14">
        <v>1</v>
      </c>
      <c r="L563" s="14">
        <v>1</v>
      </c>
      <c r="M563" s="15">
        <v>261.42599999999999</v>
      </c>
      <c r="N563" s="16" t="str">
        <f t="shared" si="24"/>
        <v>W</v>
      </c>
      <c r="O563" s="17">
        <v>9.6999999999999993</v>
      </c>
      <c r="P563" s="16" t="s">
        <v>140</v>
      </c>
      <c r="Q563" s="18">
        <v>0</v>
      </c>
      <c r="R563" s="19">
        <v>10.63</v>
      </c>
      <c r="S563" s="19">
        <v>9</v>
      </c>
      <c r="T563" s="19">
        <v>12.2</v>
      </c>
      <c r="U563" s="20">
        <v>261.29000000000002</v>
      </c>
      <c r="V563" s="16" t="s">
        <v>16</v>
      </c>
      <c r="W563" s="21">
        <v>0</v>
      </c>
      <c r="X563" s="21">
        <v>0</v>
      </c>
      <c r="Y563" s="21">
        <v>0</v>
      </c>
      <c r="Z563" s="21">
        <v>0</v>
      </c>
      <c r="AA563" s="21">
        <v>0</v>
      </c>
      <c r="AB563" s="21">
        <v>0.04</v>
      </c>
      <c r="AC563" s="21">
        <v>0.96</v>
      </c>
      <c r="AD563" s="21">
        <v>0</v>
      </c>
      <c r="AE563" s="21">
        <v>12.22</v>
      </c>
      <c r="AF563" s="21">
        <v>12.15</v>
      </c>
      <c r="AG563" s="21">
        <v>15.6</v>
      </c>
      <c r="AH563" s="18" t="s">
        <v>29</v>
      </c>
      <c r="AI563" s="13" t="str">
        <f>VLOOKUP(AH563,'Hess and Brezowsky'!$B$2:$G$31,2,FALSE)</f>
        <v>Mixed</v>
      </c>
      <c r="AJ563" s="18" t="str">
        <f>VLOOKUP(AH563,'Hess and Brezowsky'!$B$2:$G$31,3,FALSE)</f>
        <v>C</v>
      </c>
      <c r="AK563" s="13" t="str">
        <f>VLOOKUP(AH563,'Hess and Brezowsky'!$B$2:$G$31,4,FALSE)</f>
        <v>Cyclonic North-Westerly</v>
      </c>
      <c r="AL563" s="29">
        <v>0.32178240740740743</v>
      </c>
      <c r="AM563" s="29">
        <v>0.49353009259259262</v>
      </c>
      <c r="AN563" s="30">
        <v>0.66527777777777775</v>
      </c>
    </row>
    <row r="564" spans="1:40" ht="15.75" customHeight="1" x14ac:dyDescent="0.2">
      <c r="A564" s="27">
        <v>45284</v>
      </c>
      <c r="B564" s="13">
        <v>2023</v>
      </c>
      <c r="C564" s="13">
        <v>358</v>
      </c>
      <c r="D564" s="13">
        <f t="shared" si="23"/>
        <v>1</v>
      </c>
      <c r="E564" s="13"/>
      <c r="F564" s="13">
        <f t="shared" si="22"/>
        <v>5</v>
      </c>
      <c r="G564" s="14">
        <v>0</v>
      </c>
      <c r="H564" s="14">
        <v>1</v>
      </c>
      <c r="I564" s="14">
        <v>1</v>
      </c>
      <c r="J564" s="14">
        <v>1</v>
      </c>
      <c r="K564" s="14">
        <v>1</v>
      </c>
      <c r="L564" s="14">
        <v>1</v>
      </c>
      <c r="M564" s="15">
        <v>239.441</v>
      </c>
      <c r="N564" s="16" t="str">
        <f t="shared" si="24"/>
        <v>SW</v>
      </c>
      <c r="O564" s="17">
        <v>11.4</v>
      </c>
      <c r="P564" s="16" t="s">
        <v>137</v>
      </c>
      <c r="Q564" s="18">
        <v>0</v>
      </c>
      <c r="R564" s="19">
        <v>11.26</v>
      </c>
      <c r="S564" s="19">
        <v>9.6</v>
      </c>
      <c r="T564" s="19">
        <v>12.6</v>
      </c>
      <c r="U564" s="20">
        <v>238.53</v>
      </c>
      <c r="V564" s="16" t="s">
        <v>5</v>
      </c>
      <c r="W564" s="21">
        <v>0</v>
      </c>
      <c r="X564" s="21">
        <v>0</v>
      </c>
      <c r="Y564" s="21">
        <v>0</v>
      </c>
      <c r="Z564" s="21">
        <v>0</v>
      </c>
      <c r="AA564" s="21">
        <v>0</v>
      </c>
      <c r="AB564" s="21">
        <v>0.92</v>
      </c>
      <c r="AC564" s="21">
        <v>0.08</v>
      </c>
      <c r="AD564" s="21">
        <v>0</v>
      </c>
      <c r="AE564" s="21">
        <v>11.52</v>
      </c>
      <c r="AF564" s="21">
        <v>11.47</v>
      </c>
      <c r="AG564" s="21">
        <v>15.3</v>
      </c>
      <c r="AH564" s="18" t="s">
        <v>29</v>
      </c>
      <c r="AI564" s="13" t="str">
        <f>VLOOKUP(AH564,'Hess and Brezowsky'!$B$2:$G$31,2,FALSE)</f>
        <v>Mixed</v>
      </c>
      <c r="AJ564" s="18" t="str">
        <f>VLOOKUP(AH564,'Hess and Brezowsky'!$B$2:$G$31,3,FALSE)</f>
        <v>C</v>
      </c>
      <c r="AK564" s="13" t="str">
        <f>VLOOKUP(AH564,'Hess and Brezowsky'!$B$2:$G$31,4,FALSE)</f>
        <v>Cyclonic North-Westerly</v>
      </c>
      <c r="AL564" s="29">
        <v>0.3220601851851852</v>
      </c>
      <c r="AM564" s="29">
        <v>0.49386574074074074</v>
      </c>
      <c r="AN564" s="30">
        <v>0.66567129629629629</v>
      </c>
    </row>
    <row r="565" spans="1:40" ht="15.75" customHeight="1" x14ac:dyDescent="0.2">
      <c r="A565" s="27">
        <v>45285</v>
      </c>
      <c r="B565" s="13">
        <v>2023</v>
      </c>
      <c r="C565" s="13">
        <v>359</v>
      </c>
      <c r="D565" s="13">
        <f t="shared" si="23"/>
        <v>2</v>
      </c>
      <c r="E565" s="13"/>
      <c r="F565" s="13">
        <f t="shared" si="22"/>
        <v>4</v>
      </c>
      <c r="G565" s="14">
        <v>0</v>
      </c>
      <c r="H565" s="14">
        <v>1</v>
      </c>
      <c r="I565" s="14">
        <v>0.2</v>
      </c>
      <c r="J565" s="14">
        <v>1</v>
      </c>
      <c r="K565" s="14">
        <v>1</v>
      </c>
      <c r="L565" s="14">
        <v>1</v>
      </c>
      <c r="M565" s="15">
        <v>237.58500000000001</v>
      </c>
      <c r="N565" s="16" t="str">
        <f t="shared" si="24"/>
        <v>SW</v>
      </c>
      <c r="O565" s="17">
        <v>10.1</v>
      </c>
      <c r="P565" s="16" t="s">
        <v>140</v>
      </c>
      <c r="Q565" s="18">
        <v>0</v>
      </c>
      <c r="R565" s="19">
        <v>11.77</v>
      </c>
      <c r="S565" s="19">
        <v>11.2</v>
      </c>
      <c r="T565" s="19">
        <v>12.5</v>
      </c>
      <c r="U565" s="20">
        <v>235.74</v>
      </c>
      <c r="V565" s="16" t="s">
        <v>5</v>
      </c>
      <c r="W565" s="21">
        <v>0</v>
      </c>
      <c r="X565" s="21">
        <v>0</v>
      </c>
      <c r="Y565" s="21">
        <v>0</v>
      </c>
      <c r="Z565" s="21">
        <v>0</v>
      </c>
      <c r="AA565" s="21">
        <v>0</v>
      </c>
      <c r="AB565" s="21">
        <v>1</v>
      </c>
      <c r="AC565" s="21">
        <v>0</v>
      </c>
      <c r="AD565" s="21">
        <v>0</v>
      </c>
      <c r="AE565" s="21">
        <v>9.99</v>
      </c>
      <c r="AF565" s="21">
        <v>9.9600000000000009</v>
      </c>
      <c r="AG565" s="21">
        <v>13.3</v>
      </c>
      <c r="AH565" s="18" t="s">
        <v>28</v>
      </c>
      <c r="AI565" s="13" t="str">
        <f>VLOOKUP(AH565,'Hess and Brezowsky'!$B$2:$G$31,2,FALSE)</f>
        <v>Zonal</v>
      </c>
      <c r="AJ565" s="18" t="str">
        <f>VLOOKUP(AH565,'Hess and Brezowsky'!$B$2:$G$31,3,FALSE)</f>
        <v>C</v>
      </c>
      <c r="AK565" s="13" t="str">
        <f>VLOOKUP(AH565,'Hess and Brezowsky'!$B$2:$G$31,4,FALSE)</f>
        <v>Cyclonic Westerly</v>
      </c>
      <c r="AL565" s="29">
        <v>0.32231481481481483</v>
      </c>
      <c r="AM565" s="29">
        <v>0.49420138888888887</v>
      </c>
      <c r="AN565" s="30">
        <v>0.66607638888888887</v>
      </c>
    </row>
    <row r="566" spans="1:40" ht="15.75" customHeight="1" x14ac:dyDescent="0.2">
      <c r="A566" s="27">
        <v>45286</v>
      </c>
      <c r="B566" s="13">
        <v>2023</v>
      </c>
      <c r="C566" s="13">
        <v>360</v>
      </c>
      <c r="D566" s="13">
        <f t="shared" si="23"/>
        <v>3</v>
      </c>
      <c r="E566" s="13"/>
      <c r="F566" s="13">
        <f t="shared" ref="F566:F629" si="25">IF(G566 &gt; 0.5,1,0)+IF(H566 &gt; 0.5,1,0)+IF(I566 &gt; 0.5,1,0)+IF(J566 &gt; 0.5,1,0)+IF(K566 &gt; 0.5,1,0)+IF(L567 &gt; 0.5,1,0)</f>
        <v>4</v>
      </c>
      <c r="G566" s="14">
        <v>0</v>
      </c>
      <c r="H566" s="14">
        <v>1</v>
      </c>
      <c r="I566" s="14">
        <v>0</v>
      </c>
      <c r="J566" s="14">
        <v>1</v>
      </c>
      <c r="K566" s="14">
        <v>1</v>
      </c>
      <c r="L566" s="14">
        <v>1</v>
      </c>
      <c r="M566" s="15">
        <v>234.68100000000001</v>
      </c>
      <c r="N566" s="16" t="str">
        <f t="shared" si="24"/>
        <v>SW</v>
      </c>
      <c r="O566" s="17">
        <v>7.8</v>
      </c>
      <c r="P566" s="16" t="s">
        <v>137</v>
      </c>
      <c r="Q566" s="18">
        <v>0.4</v>
      </c>
      <c r="R566" s="19">
        <v>10.75</v>
      </c>
      <c r="S566" s="19">
        <v>9.6999999999999993</v>
      </c>
      <c r="T566" s="19">
        <v>11.6</v>
      </c>
      <c r="U566" s="20">
        <v>234.14</v>
      </c>
      <c r="V566" s="16" t="s">
        <v>5</v>
      </c>
      <c r="W566" s="21">
        <v>0</v>
      </c>
      <c r="X566" s="21">
        <v>0</v>
      </c>
      <c r="Y566" s="21">
        <v>0</v>
      </c>
      <c r="Z566" s="21">
        <v>0</v>
      </c>
      <c r="AA566" s="21">
        <v>0.04</v>
      </c>
      <c r="AB566" s="21">
        <v>0.96</v>
      </c>
      <c r="AC566" s="21">
        <v>0</v>
      </c>
      <c r="AD566" s="21">
        <v>0</v>
      </c>
      <c r="AE566" s="21">
        <v>7.78</v>
      </c>
      <c r="AF566" s="21">
        <v>7.59</v>
      </c>
      <c r="AG566" s="21">
        <v>13.3</v>
      </c>
      <c r="AH566" s="18" t="s">
        <v>28</v>
      </c>
      <c r="AI566" s="13" t="str">
        <f>VLOOKUP(AH566,'Hess and Brezowsky'!$B$2:$G$31,2,FALSE)</f>
        <v>Zonal</v>
      </c>
      <c r="AJ566" s="18" t="str">
        <f>VLOOKUP(AH566,'Hess and Brezowsky'!$B$2:$G$31,3,FALSE)</f>
        <v>C</v>
      </c>
      <c r="AK566" s="13" t="str">
        <f>VLOOKUP(AH566,'Hess and Brezowsky'!$B$2:$G$31,4,FALSE)</f>
        <v>Cyclonic Westerly</v>
      </c>
      <c r="AL566" s="29">
        <v>0.32253472222222224</v>
      </c>
      <c r="AM566" s="29">
        <v>0.49453703703703705</v>
      </c>
      <c r="AN566" s="30">
        <v>0.66652777777777783</v>
      </c>
    </row>
    <row r="567" spans="1:40" ht="15.75" customHeight="1" x14ac:dyDescent="0.2">
      <c r="A567" s="27">
        <v>45287</v>
      </c>
      <c r="B567" s="13">
        <v>2023</v>
      </c>
      <c r="C567" s="13">
        <v>361</v>
      </c>
      <c r="D567" s="13">
        <f t="shared" si="23"/>
        <v>4</v>
      </c>
      <c r="E567" s="13"/>
      <c r="F567" s="13">
        <f t="shared" si="25"/>
        <v>5</v>
      </c>
      <c r="G567" s="14">
        <v>0</v>
      </c>
      <c r="H567" s="14">
        <v>0.87</v>
      </c>
      <c r="I567" s="14">
        <v>1</v>
      </c>
      <c r="J567" s="14">
        <v>1</v>
      </c>
      <c r="K567" s="14">
        <v>1</v>
      </c>
      <c r="L567" s="14">
        <v>0.95</v>
      </c>
      <c r="M567" s="15">
        <v>205.51900000000001</v>
      </c>
      <c r="N567" s="16" t="str">
        <f t="shared" si="24"/>
        <v>SW</v>
      </c>
      <c r="O567" s="17">
        <v>10.1</v>
      </c>
      <c r="P567" s="16" t="s">
        <v>137</v>
      </c>
      <c r="Q567" s="18">
        <v>0</v>
      </c>
      <c r="R567" s="19">
        <v>9.65</v>
      </c>
      <c r="S567" s="19">
        <v>7.8</v>
      </c>
      <c r="T567" s="19">
        <v>11</v>
      </c>
      <c r="U567" s="20">
        <v>203.19</v>
      </c>
      <c r="V567" s="16" t="s">
        <v>5</v>
      </c>
      <c r="W567" s="21">
        <v>0</v>
      </c>
      <c r="X567" s="21">
        <v>0</v>
      </c>
      <c r="Y567" s="21">
        <v>0</v>
      </c>
      <c r="Z567" s="21">
        <v>0</v>
      </c>
      <c r="AA567" s="21">
        <v>0.71</v>
      </c>
      <c r="AB567" s="21">
        <v>0.28999999999999998</v>
      </c>
      <c r="AC567" s="21">
        <v>0</v>
      </c>
      <c r="AD567" s="21">
        <v>0</v>
      </c>
      <c r="AE567" s="21">
        <v>10.77</v>
      </c>
      <c r="AF567" s="21">
        <v>10.6</v>
      </c>
      <c r="AG567" s="21">
        <v>15.1</v>
      </c>
      <c r="AH567" s="18" t="s">
        <v>28</v>
      </c>
      <c r="AI567" s="13" t="str">
        <f>VLOOKUP(AH567,'Hess and Brezowsky'!$B$2:$G$31,2,FALSE)</f>
        <v>Zonal</v>
      </c>
      <c r="AJ567" s="18" t="str">
        <f>VLOOKUP(AH567,'Hess and Brezowsky'!$B$2:$G$31,3,FALSE)</f>
        <v>C</v>
      </c>
      <c r="AK567" s="13" t="str">
        <f>VLOOKUP(AH567,'Hess and Brezowsky'!$B$2:$G$31,4,FALSE)</f>
        <v>Cyclonic Westerly</v>
      </c>
      <c r="AL567" s="29">
        <v>0.32271990740740741</v>
      </c>
      <c r="AM567" s="29">
        <v>0.49486111111111108</v>
      </c>
      <c r="AN567" s="30">
        <v>0.66701388888888891</v>
      </c>
    </row>
    <row r="568" spans="1:40" ht="15.75" customHeight="1" x14ac:dyDescent="0.2">
      <c r="A568" s="27">
        <v>45288</v>
      </c>
      <c r="B568" s="13">
        <v>2023</v>
      </c>
      <c r="C568" s="13">
        <v>362</v>
      </c>
      <c r="D568" s="13">
        <f t="shared" si="23"/>
        <v>5</v>
      </c>
      <c r="E568" s="13"/>
      <c r="F568" s="13">
        <f t="shared" si="25"/>
        <v>4</v>
      </c>
      <c r="G568" s="14">
        <v>0</v>
      </c>
      <c r="H568" s="14">
        <v>1</v>
      </c>
      <c r="I568" s="14">
        <v>0.12</v>
      </c>
      <c r="J568" s="14">
        <v>1</v>
      </c>
      <c r="K568" s="14">
        <v>1</v>
      </c>
      <c r="L568" s="14">
        <v>1</v>
      </c>
      <c r="M568" s="15">
        <v>221.696</v>
      </c>
      <c r="N568" s="16" t="str">
        <f t="shared" si="24"/>
        <v>SW</v>
      </c>
      <c r="O568" s="17">
        <v>10.199999999999999</v>
      </c>
      <c r="P568" s="16" t="s">
        <v>137</v>
      </c>
      <c r="Q568" s="18">
        <v>0</v>
      </c>
      <c r="R568" s="19">
        <v>10.33</v>
      </c>
      <c r="S568" s="19">
        <v>8.8000000000000007</v>
      </c>
      <c r="T568" s="19">
        <v>11.8</v>
      </c>
      <c r="U568" s="20">
        <v>218.68</v>
      </c>
      <c r="V568" s="16" t="s">
        <v>5</v>
      </c>
      <c r="W568" s="21">
        <v>0</v>
      </c>
      <c r="X568" s="21">
        <v>0</v>
      </c>
      <c r="Y568" s="21">
        <v>0</v>
      </c>
      <c r="Z568" s="21">
        <v>0</v>
      </c>
      <c r="AA568" s="21">
        <v>0</v>
      </c>
      <c r="AB568" s="21">
        <v>1</v>
      </c>
      <c r="AC568" s="21">
        <v>0</v>
      </c>
      <c r="AD568" s="21">
        <v>0</v>
      </c>
      <c r="AE568" s="21">
        <v>8.5</v>
      </c>
      <c r="AF568" s="21">
        <v>8.48</v>
      </c>
      <c r="AG568" s="21">
        <v>11.9</v>
      </c>
      <c r="AH568" s="18" t="s">
        <v>28</v>
      </c>
      <c r="AI568" s="13" t="str">
        <f>VLOOKUP(AH568,'Hess and Brezowsky'!$B$2:$G$31,2,FALSE)</f>
        <v>Zonal</v>
      </c>
      <c r="AJ568" s="18" t="str">
        <f>VLOOKUP(AH568,'Hess and Brezowsky'!$B$2:$G$31,3,FALSE)</f>
        <v>C</v>
      </c>
      <c r="AK568" s="13" t="str">
        <f>VLOOKUP(AH568,'Hess and Brezowsky'!$B$2:$G$31,4,FALSE)</f>
        <v>Cyclonic Westerly</v>
      </c>
      <c r="AL568" s="29">
        <v>0.32287037037037036</v>
      </c>
      <c r="AM568" s="29">
        <v>0.49519675925925927</v>
      </c>
      <c r="AN568" s="30">
        <v>0.66752314814814817</v>
      </c>
    </row>
    <row r="569" spans="1:40" ht="15.75" customHeight="1" x14ac:dyDescent="0.2">
      <c r="A569" s="27">
        <v>45289</v>
      </c>
      <c r="B569" s="13">
        <v>2023</v>
      </c>
      <c r="C569" s="13">
        <v>363</v>
      </c>
      <c r="D569" s="13">
        <f t="shared" si="23"/>
        <v>6</v>
      </c>
      <c r="E569" s="13"/>
      <c r="F569" s="13">
        <f t="shared" si="25"/>
        <v>4</v>
      </c>
      <c r="G569" s="14">
        <v>0</v>
      </c>
      <c r="H569" s="14">
        <v>1</v>
      </c>
      <c r="I569" s="14">
        <v>0</v>
      </c>
      <c r="J569" s="14">
        <v>1</v>
      </c>
      <c r="K569" s="14">
        <v>1</v>
      </c>
      <c r="L569" s="14">
        <v>1</v>
      </c>
      <c r="M569" s="15">
        <v>231.12200000000001</v>
      </c>
      <c r="N569" s="16" t="str">
        <f t="shared" si="24"/>
        <v>SW</v>
      </c>
      <c r="O569" s="17">
        <v>11</v>
      </c>
      <c r="P569" s="16" t="s">
        <v>137</v>
      </c>
      <c r="Q569" s="18">
        <v>1</v>
      </c>
      <c r="R569" s="19">
        <v>10.54</v>
      </c>
      <c r="S569" s="19">
        <v>9</v>
      </c>
      <c r="T569" s="19">
        <v>11.8</v>
      </c>
      <c r="U569" s="20">
        <v>229.96</v>
      </c>
      <c r="V569" s="16" t="s">
        <v>5</v>
      </c>
      <c r="W569" s="21">
        <v>0</v>
      </c>
      <c r="X569" s="21">
        <v>0</v>
      </c>
      <c r="Y569" s="21">
        <v>0</v>
      </c>
      <c r="Z569" s="21">
        <v>0</v>
      </c>
      <c r="AA569" s="21">
        <v>0</v>
      </c>
      <c r="AB569" s="21">
        <v>1</v>
      </c>
      <c r="AC569" s="21">
        <v>0</v>
      </c>
      <c r="AD569" s="21">
        <v>0</v>
      </c>
      <c r="AE569" s="21">
        <v>11.06</v>
      </c>
      <c r="AF569" s="21">
        <v>11.01</v>
      </c>
      <c r="AG569" s="21">
        <v>17.399999999999999</v>
      </c>
      <c r="AH569" s="18" t="s">
        <v>28</v>
      </c>
      <c r="AI569" s="13" t="str">
        <f>VLOOKUP(AH569,'Hess and Brezowsky'!$B$2:$G$31,2,FALSE)</f>
        <v>Zonal</v>
      </c>
      <c r="AJ569" s="18" t="str">
        <f>VLOOKUP(AH569,'Hess and Brezowsky'!$B$2:$G$31,3,FALSE)</f>
        <v>C</v>
      </c>
      <c r="AK569" s="13" t="str">
        <f>VLOOKUP(AH569,'Hess and Brezowsky'!$B$2:$G$31,4,FALSE)</f>
        <v>Cyclonic Westerly</v>
      </c>
      <c r="AL569" s="29">
        <v>0.32298611111111108</v>
      </c>
      <c r="AM569" s="29">
        <v>0.49552083333333335</v>
      </c>
      <c r="AN569" s="30">
        <v>0.66806712962962966</v>
      </c>
    </row>
    <row r="570" spans="1:40" ht="15.75" customHeight="1" x14ac:dyDescent="0.2">
      <c r="A570" s="27">
        <v>45290</v>
      </c>
      <c r="B570" s="13">
        <v>2023</v>
      </c>
      <c r="C570" s="13">
        <v>364</v>
      </c>
      <c r="D570" s="13">
        <f t="shared" si="23"/>
        <v>7</v>
      </c>
      <c r="E570" s="13"/>
      <c r="F570" s="13">
        <f t="shared" si="25"/>
        <v>5</v>
      </c>
      <c r="G570" s="14">
        <v>0</v>
      </c>
      <c r="H570" s="14">
        <v>1</v>
      </c>
      <c r="I570" s="14">
        <v>1</v>
      </c>
      <c r="J570" s="14">
        <v>1</v>
      </c>
      <c r="K570" s="14">
        <v>1</v>
      </c>
      <c r="L570" s="14">
        <v>1</v>
      </c>
      <c r="M570" s="15">
        <v>207.40100000000001</v>
      </c>
      <c r="N570" s="16" t="str">
        <f t="shared" si="24"/>
        <v>SW</v>
      </c>
      <c r="O570" s="17">
        <v>10.5</v>
      </c>
      <c r="P570" s="16" t="s">
        <v>137</v>
      </c>
      <c r="Q570" s="18">
        <v>0</v>
      </c>
      <c r="R570" s="19">
        <v>9.25</v>
      </c>
      <c r="S570" s="19">
        <v>6.9</v>
      </c>
      <c r="T570" s="19">
        <v>11.2</v>
      </c>
      <c r="U570" s="20">
        <v>206.5</v>
      </c>
      <c r="V570" s="16" t="s">
        <v>5</v>
      </c>
      <c r="W570" s="21">
        <v>0</v>
      </c>
      <c r="X570" s="21">
        <v>0</v>
      </c>
      <c r="Y570" s="21">
        <v>0</v>
      </c>
      <c r="Z570" s="21">
        <v>0</v>
      </c>
      <c r="AA570" s="21">
        <v>0.62</v>
      </c>
      <c r="AB570" s="21">
        <v>0.38</v>
      </c>
      <c r="AC570" s="21">
        <v>0</v>
      </c>
      <c r="AD570" s="21">
        <v>0</v>
      </c>
      <c r="AE570" s="21">
        <v>10.89</v>
      </c>
      <c r="AF570" s="21">
        <v>10.19</v>
      </c>
      <c r="AG570" s="21">
        <v>15.7</v>
      </c>
      <c r="AH570" s="18" t="s">
        <v>28</v>
      </c>
      <c r="AI570" s="13" t="str">
        <f>VLOOKUP(AH570,'Hess and Brezowsky'!$B$2:$G$31,2,FALSE)</f>
        <v>Zonal</v>
      </c>
      <c r="AJ570" s="18" t="str">
        <f>VLOOKUP(AH570,'Hess and Brezowsky'!$B$2:$G$31,3,FALSE)</f>
        <v>C</v>
      </c>
      <c r="AK570" s="13" t="str">
        <f>VLOOKUP(AH570,'Hess and Brezowsky'!$B$2:$G$31,4,FALSE)</f>
        <v>Cyclonic Westerly</v>
      </c>
      <c r="AL570" s="29">
        <v>0.32306712962962963</v>
      </c>
      <c r="AM570" s="29">
        <v>0.49585648148148148</v>
      </c>
      <c r="AN570" s="30">
        <v>0.66864583333333338</v>
      </c>
    </row>
    <row r="571" spans="1:40" ht="15.75" customHeight="1" x14ac:dyDescent="0.2">
      <c r="A571" s="27">
        <v>45291</v>
      </c>
      <c r="B571" s="13">
        <v>2023</v>
      </c>
      <c r="C571" s="13">
        <v>365</v>
      </c>
      <c r="D571" s="13">
        <f t="shared" si="23"/>
        <v>1</v>
      </c>
      <c r="E571" s="13"/>
      <c r="F571" s="13">
        <f t="shared" si="25"/>
        <v>5</v>
      </c>
      <c r="G571" s="14">
        <v>0</v>
      </c>
      <c r="H571" s="14">
        <v>1</v>
      </c>
      <c r="I571" s="14">
        <v>1</v>
      </c>
      <c r="J571" s="14">
        <v>1</v>
      </c>
      <c r="K571" s="14">
        <v>1</v>
      </c>
      <c r="L571" s="14">
        <v>1</v>
      </c>
      <c r="M571" s="15">
        <v>219.21600000000001</v>
      </c>
      <c r="N571" s="16" t="str">
        <f t="shared" si="24"/>
        <v>SW</v>
      </c>
      <c r="O571" s="17">
        <v>13.5</v>
      </c>
      <c r="P571" s="16" t="s">
        <v>137</v>
      </c>
      <c r="Q571" s="18">
        <v>1.4</v>
      </c>
      <c r="R571" s="19">
        <v>9.2799999999999994</v>
      </c>
      <c r="S571" s="19">
        <v>7.1</v>
      </c>
      <c r="T571" s="19">
        <v>11.4</v>
      </c>
      <c r="U571" s="20">
        <v>217.15</v>
      </c>
      <c r="V571" s="16" t="s">
        <v>5</v>
      </c>
      <c r="W571" s="21">
        <v>0</v>
      </c>
      <c r="X571" s="21">
        <v>0</v>
      </c>
      <c r="Y571" s="21">
        <v>0</v>
      </c>
      <c r="Z571" s="21">
        <v>0</v>
      </c>
      <c r="AA571" s="21">
        <v>0.21</v>
      </c>
      <c r="AB571" s="21">
        <v>0.79</v>
      </c>
      <c r="AC571" s="21">
        <v>0</v>
      </c>
      <c r="AD571" s="21">
        <v>0</v>
      </c>
      <c r="AE571" s="21">
        <v>13.86</v>
      </c>
      <c r="AF571" s="21">
        <v>13.24</v>
      </c>
      <c r="AG571" s="21">
        <v>17.899999999999999</v>
      </c>
      <c r="AH571" s="18" t="s">
        <v>12</v>
      </c>
      <c r="AI571" s="13" t="str">
        <f>VLOOKUP(AH571,'Hess and Brezowsky'!$B$2:$G$31,2,FALSE)</f>
        <v>Undefined</v>
      </c>
      <c r="AJ571" s="18" t="str">
        <f>VLOOKUP(AH571,'Hess and Brezowsky'!$B$2:$G$31,3,FALSE)</f>
        <v>M</v>
      </c>
      <c r="AK571" s="13" t="str">
        <f>VLOOKUP(AH571,'Hess and Brezowsky'!$B$2:$G$31,4,FALSE)</f>
        <v>Transistion / Undefined</v>
      </c>
      <c r="AL571" s="29">
        <v>0.3231134259259259</v>
      </c>
      <c r="AM571" s="29">
        <v>0.49618055555555557</v>
      </c>
      <c r="AN571" s="30">
        <v>0.66924768518518518</v>
      </c>
    </row>
    <row r="572" spans="1:40" ht="15.75" customHeight="1" x14ac:dyDescent="0.2">
      <c r="A572" s="27">
        <v>45292</v>
      </c>
      <c r="B572" s="13">
        <v>2024</v>
      </c>
      <c r="C572" s="13">
        <v>1</v>
      </c>
      <c r="D572" s="13">
        <f t="shared" si="23"/>
        <v>2</v>
      </c>
      <c r="E572" s="13"/>
      <c r="F572" s="13">
        <f t="shared" si="25"/>
        <v>5</v>
      </c>
      <c r="G572" s="14">
        <v>0</v>
      </c>
      <c r="H572" s="14">
        <v>1</v>
      </c>
      <c r="I572" s="14">
        <v>1</v>
      </c>
      <c r="J572" s="14">
        <v>1</v>
      </c>
      <c r="K572" s="14">
        <v>1</v>
      </c>
      <c r="L572" s="14">
        <v>1</v>
      </c>
      <c r="M572" s="15">
        <v>221.14099999999999</v>
      </c>
      <c r="N572" s="16" t="str">
        <f t="shared" si="24"/>
        <v>SW</v>
      </c>
      <c r="O572" s="17">
        <v>11.9</v>
      </c>
      <c r="P572" s="16" t="s">
        <v>140</v>
      </c>
      <c r="Q572" s="18">
        <v>6.3</v>
      </c>
      <c r="R572" s="19">
        <v>8.32</v>
      </c>
      <c r="S572" s="19">
        <v>6.1</v>
      </c>
      <c r="T572" s="19">
        <v>10.9</v>
      </c>
      <c r="U572" s="20">
        <v>222.69</v>
      </c>
      <c r="V572" s="16" t="s">
        <v>5</v>
      </c>
      <c r="W572" s="21">
        <v>0</v>
      </c>
      <c r="X572" s="21">
        <v>0</v>
      </c>
      <c r="Y572" s="21">
        <v>0</v>
      </c>
      <c r="Z572" s="21">
        <v>0</v>
      </c>
      <c r="AA572" s="21">
        <v>0.28999999999999998</v>
      </c>
      <c r="AB572" s="21">
        <v>0.71</v>
      </c>
      <c r="AC572" s="21">
        <v>0</v>
      </c>
      <c r="AD572" s="21">
        <v>0</v>
      </c>
      <c r="AE572" s="21">
        <v>13.07</v>
      </c>
      <c r="AF572" s="21">
        <v>12.38</v>
      </c>
      <c r="AG572" s="21">
        <v>17.899999999999999</v>
      </c>
      <c r="AH572" s="18" t="s">
        <v>12</v>
      </c>
      <c r="AI572" s="13" t="str">
        <f>VLOOKUP(AH572,'Hess and Brezowsky'!$B$2:$G$31,2,FALSE)</f>
        <v>Undefined</v>
      </c>
      <c r="AJ572" s="18" t="str">
        <f>VLOOKUP(AH572,'Hess and Brezowsky'!$B$2:$G$31,3,FALSE)</f>
        <v>M</v>
      </c>
      <c r="AK572" s="13" t="str">
        <f>VLOOKUP(AH572,'Hess and Brezowsky'!$B$2:$G$31,4,FALSE)</f>
        <v>Transistion / Undefined</v>
      </c>
      <c r="AL572" s="29">
        <v>0.323125</v>
      </c>
      <c r="AM572" s="29">
        <v>0.49650462962962966</v>
      </c>
      <c r="AN572" s="30">
        <v>0.66987268518518517</v>
      </c>
    </row>
    <row r="573" spans="1:40" ht="15.75" customHeight="1" x14ac:dyDescent="0.2">
      <c r="A573" s="27">
        <v>45293</v>
      </c>
      <c r="B573" s="13">
        <v>2024</v>
      </c>
      <c r="C573" s="13">
        <v>2</v>
      </c>
      <c r="D573" s="13">
        <f t="shared" si="23"/>
        <v>3</v>
      </c>
      <c r="E573" s="13"/>
      <c r="F573" s="13">
        <f t="shared" si="25"/>
        <v>5</v>
      </c>
      <c r="G573" s="14">
        <v>0</v>
      </c>
      <c r="H573" s="14">
        <v>1</v>
      </c>
      <c r="I573" s="14">
        <v>1</v>
      </c>
      <c r="J573" s="14">
        <v>1</v>
      </c>
      <c r="K573" s="14">
        <v>1</v>
      </c>
      <c r="L573" s="14">
        <v>1</v>
      </c>
      <c r="M573" s="15">
        <v>221.255</v>
      </c>
      <c r="N573" s="16" t="str">
        <f t="shared" si="24"/>
        <v>SW</v>
      </c>
      <c r="O573" s="17">
        <v>16.399999999999999</v>
      </c>
      <c r="P573" s="16" t="s">
        <v>137</v>
      </c>
      <c r="Q573" s="18">
        <v>10.199999999999999</v>
      </c>
      <c r="R573" s="19">
        <v>10.98</v>
      </c>
      <c r="S573" s="19">
        <v>10.1</v>
      </c>
      <c r="T573" s="19">
        <v>12</v>
      </c>
      <c r="U573" s="20">
        <v>219.99</v>
      </c>
      <c r="V573" s="16" t="s">
        <v>5</v>
      </c>
      <c r="W573" s="21">
        <v>0</v>
      </c>
      <c r="X573" s="21">
        <v>0</v>
      </c>
      <c r="Y573" s="21">
        <v>0</v>
      </c>
      <c r="Z573" s="21">
        <v>0</v>
      </c>
      <c r="AA573" s="21">
        <v>0</v>
      </c>
      <c r="AB573" s="21">
        <v>0.96</v>
      </c>
      <c r="AC573" s="21">
        <v>0.04</v>
      </c>
      <c r="AD573" s="21">
        <v>0</v>
      </c>
      <c r="AE573" s="21">
        <v>16.37</v>
      </c>
      <c r="AF573" s="21">
        <v>15.93</v>
      </c>
      <c r="AG573" s="21">
        <v>22.8</v>
      </c>
      <c r="AH573" s="18" t="s">
        <v>47</v>
      </c>
      <c r="AI573" s="13" t="str">
        <f>VLOOKUP(AH573,'Hess and Brezowsky'!$B$2:$G$31,2,FALSE)</f>
        <v>Zonal</v>
      </c>
      <c r="AJ573" s="18" t="str">
        <f>VLOOKUP(AH573,'Hess and Brezowsky'!$B$2:$G$31,3,FALSE)</f>
        <v>M</v>
      </c>
      <c r="AK573" s="13" t="str">
        <f>VLOOKUP(AH573,'Hess and Brezowsky'!$B$2:$G$31,4,FALSE)</f>
        <v>South-Shifted Westerly</v>
      </c>
      <c r="AL573" s="29">
        <v>0.32310185185185186</v>
      </c>
      <c r="AM573" s="29">
        <v>0.49681712962962965</v>
      </c>
      <c r="AN573" s="30">
        <v>0.67054398148148153</v>
      </c>
    </row>
    <row r="574" spans="1:40" ht="15.75" customHeight="1" x14ac:dyDescent="0.2">
      <c r="A574" s="27">
        <v>45294</v>
      </c>
      <c r="B574" s="13">
        <v>2024</v>
      </c>
      <c r="C574" s="13">
        <v>3</v>
      </c>
      <c r="D574" s="13">
        <f t="shared" si="23"/>
        <v>4</v>
      </c>
      <c r="E574" s="13"/>
      <c r="F574" s="13">
        <f t="shared" si="25"/>
        <v>5</v>
      </c>
      <c r="G574" s="14">
        <v>0</v>
      </c>
      <c r="H574" s="14">
        <v>1</v>
      </c>
      <c r="I574" s="14">
        <v>1</v>
      </c>
      <c r="J574" s="14">
        <v>1</v>
      </c>
      <c r="K574" s="14">
        <v>1</v>
      </c>
      <c r="L574" s="14">
        <v>1</v>
      </c>
      <c r="M574" s="15">
        <v>238.95099999999999</v>
      </c>
      <c r="N574" s="16" t="str">
        <f t="shared" si="24"/>
        <v>SW</v>
      </c>
      <c r="O574" s="17">
        <v>13.2</v>
      </c>
      <c r="P574" s="16" t="s">
        <v>137</v>
      </c>
      <c r="Q574" s="18">
        <v>6</v>
      </c>
      <c r="R574" s="19">
        <v>10.66</v>
      </c>
      <c r="S574" s="19">
        <v>8.6</v>
      </c>
      <c r="T574" s="19">
        <v>12.7</v>
      </c>
      <c r="U574" s="20">
        <v>238.76</v>
      </c>
      <c r="V574" s="16" t="s">
        <v>5</v>
      </c>
      <c r="W574" s="21">
        <v>0</v>
      </c>
      <c r="X574" s="21">
        <v>0</v>
      </c>
      <c r="Y574" s="21">
        <v>0</v>
      </c>
      <c r="Z574" s="21">
        <v>0</v>
      </c>
      <c r="AA574" s="21">
        <v>0</v>
      </c>
      <c r="AB574" s="21">
        <v>0.75</v>
      </c>
      <c r="AC574" s="21">
        <v>0.25</v>
      </c>
      <c r="AD574" s="21">
        <v>0</v>
      </c>
      <c r="AE574" s="21">
        <v>15.25</v>
      </c>
      <c r="AF574" s="21">
        <v>15.06</v>
      </c>
      <c r="AG574" s="21">
        <v>20.6</v>
      </c>
      <c r="AH574" s="18" t="s">
        <v>47</v>
      </c>
      <c r="AI574" s="13" t="str">
        <f>VLOOKUP(AH574,'Hess and Brezowsky'!$B$2:$G$31,2,FALSE)</f>
        <v>Zonal</v>
      </c>
      <c r="AJ574" s="18" t="str">
        <f>VLOOKUP(AH574,'Hess and Brezowsky'!$B$2:$G$31,3,FALSE)</f>
        <v>M</v>
      </c>
      <c r="AK574" s="13" t="str">
        <f>VLOOKUP(AH574,'Hess and Brezowsky'!$B$2:$G$31,4,FALSE)</f>
        <v>South-Shifted Westerly</v>
      </c>
      <c r="AL574" s="29">
        <v>0.3230439814814815</v>
      </c>
      <c r="AM574" s="29">
        <v>0.49714120370370368</v>
      </c>
      <c r="AN574" s="30">
        <v>0.67122685185185182</v>
      </c>
    </row>
    <row r="575" spans="1:40" ht="15.75" customHeight="1" x14ac:dyDescent="0.2">
      <c r="A575" s="27">
        <v>45295</v>
      </c>
      <c r="B575" s="13">
        <v>2024</v>
      </c>
      <c r="C575" s="13">
        <v>4</v>
      </c>
      <c r="D575" s="13">
        <f t="shared" si="23"/>
        <v>5</v>
      </c>
      <c r="E575" s="13"/>
      <c r="F575" s="13">
        <f t="shared" si="25"/>
        <v>5</v>
      </c>
      <c r="G575" s="14">
        <v>0</v>
      </c>
      <c r="H575" s="14">
        <v>1</v>
      </c>
      <c r="I575" s="14">
        <v>1</v>
      </c>
      <c r="J575" s="14">
        <v>1</v>
      </c>
      <c r="K575" s="14">
        <v>1</v>
      </c>
      <c r="L575" s="14">
        <v>1</v>
      </c>
      <c r="M575" s="15">
        <v>217.672</v>
      </c>
      <c r="N575" s="16" t="str">
        <f t="shared" si="24"/>
        <v>SW</v>
      </c>
      <c r="O575" s="17">
        <v>10.9</v>
      </c>
      <c r="P575" s="16" t="s">
        <v>137</v>
      </c>
      <c r="Q575" s="18">
        <v>0</v>
      </c>
      <c r="R575" s="19">
        <v>9.6300000000000008</v>
      </c>
      <c r="S575" s="19">
        <v>7.5</v>
      </c>
      <c r="T575" s="19">
        <v>11.1</v>
      </c>
      <c r="U575" s="20">
        <v>216.85</v>
      </c>
      <c r="V575" s="16" t="s">
        <v>5</v>
      </c>
      <c r="W575" s="21">
        <v>0</v>
      </c>
      <c r="X575" s="21">
        <v>0</v>
      </c>
      <c r="Y575" s="21">
        <v>0</v>
      </c>
      <c r="Z575" s="21">
        <v>0</v>
      </c>
      <c r="AA575" s="21">
        <v>0.38</v>
      </c>
      <c r="AB575" s="21">
        <v>0.42</v>
      </c>
      <c r="AC575" s="21">
        <v>0.21</v>
      </c>
      <c r="AD575" s="21">
        <v>0</v>
      </c>
      <c r="AE575" s="21">
        <v>12</v>
      </c>
      <c r="AF575" s="21">
        <v>10.7</v>
      </c>
      <c r="AG575" s="21">
        <v>17.600000000000001</v>
      </c>
      <c r="AH575" s="18" t="s">
        <v>47</v>
      </c>
      <c r="AI575" s="13" t="str">
        <f>VLOOKUP(AH575,'Hess and Brezowsky'!$B$2:$G$31,2,FALSE)</f>
        <v>Zonal</v>
      </c>
      <c r="AJ575" s="18" t="str">
        <f>VLOOKUP(AH575,'Hess and Brezowsky'!$B$2:$G$31,3,FALSE)</f>
        <v>M</v>
      </c>
      <c r="AK575" s="13" t="str">
        <f>VLOOKUP(AH575,'Hess and Brezowsky'!$B$2:$G$31,4,FALSE)</f>
        <v>South-Shifted Westerly</v>
      </c>
      <c r="AL575" s="29">
        <v>0.32295138888888891</v>
      </c>
      <c r="AM575" s="29">
        <v>0.49745370370370373</v>
      </c>
      <c r="AN575" s="30">
        <v>0.67194444444444446</v>
      </c>
    </row>
    <row r="576" spans="1:40" ht="15.75" customHeight="1" x14ac:dyDescent="0.2">
      <c r="A576" s="27">
        <v>45296</v>
      </c>
      <c r="B576" s="13">
        <v>2024</v>
      </c>
      <c r="C576" s="13">
        <v>5</v>
      </c>
      <c r="D576" s="13">
        <f t="shared" si="23"/>
        <v>6</v>
      </c>
      <c r="E576" s="13"/>
      <c r="F576" s="13">
        <f t="shared" si="25"/>
        <v>5</v>
      </c>
      <c r="G576" s="14">
        <v>0</v>
      </c>
      <c r="H576" s="14">
        <v>1</v>
      </c>
      <c r="I576" s="14">
        <v>1</v>
      </c>
      <c r="J576" s="14">
        <v>1</v>
      </c>
      <c r="K576" s="14">
        <v>1</v>
      </c>
      <c r="L576" s="14">
        <v>1</v>
      </c>
      <c r="M576" s="15">
        <v>265.43200000000002</v>
      </c>
      <c r="N576" s="16" t="str">
        <f t="shared" si="24"/>
        <v>W</v>
      </c>
      <c r="O576" s="17">
        <v>8.1</v>
      </c>
      <c r="P576" s="16" t="s">
        <v>137</v>
      </c>
      <c r="Q576" s="18">
        <v>0</v>
      </c>
      <c r="R576" s="19">
        <v>7.7</v>
      </c>
      <c r="S576" s="19">
        <v>6.1</v>
      </c>
      <c r="T576" s="19">
        <v>9.8000000000000007</v>
      </c>
      <c r="U576" s="20">
        <v>265.06</v>
      </c>
      <c r="V576" s="16" t="s">
        <v>16</v>
      </c>
      <c r="W576" s="21">
        <v>0</v>
      </c>
      <c r="X576" s="21">
        <v>0</v>
      </c>
      <c r="Y576" s="21">
        <v>0</v>
      </c>
      <c r="Z576" s="21">
        <v>0</v>
      </c>
      <c r="AA576" s="21">
        <v>0</v>
      </c>
      <c r="AB576" s="21">
        <v>0.28999999999999998</v>
      </c>
      <c r="AC576" s="21">
        <v>0.5</v>
      </c>
      <c r="AD576" s="21">
        <v>0.21</v>
      </c>
      <c r="AE576" s="21">
        <v>9.48</v>
      </c>
      <c r="AF576" s="21">
        <v>8.5399999999999991</v>
      </c>
      <c r="AG576" s="21">
        <v>14.3</v>
      </c>
      <c r="AH576" s="18" t="s">
        <v>47</v>
      </c>
      <c r="AI576" s="13" t="str">
        <f>VLOOKUP(AH576,'Hess and Brezowsky'!$B$2:$G$31,2,FALSE)</f>
        <v>Zonal</v>
      </c>
      <c r="AJ576" s="18" t="str">
        <f>VLOOKUP(AH576,'Hess and Brezowsky'!$B$2:$G$31,3,FALSE)</f>
        <v>M</v>
      </c>
      <c r="AK576" s="13" t="str">
        <f>VLOOKUP(AH576,'Hess and Brezowsky'!$B$2:$G$31,4,FALSE)</f>
        <v>South-Shifted Westerly</v>
      </c>
      <c r="AL576" s="29">
        <v>0.32283564814814814</v>
      </c>
      <c r="AM576" s="29">
        <v>0.49775462962962963</v>
      </c>
      <c r="AN576" s="30">
        <v>0.67268518518518516</v>
      </c>
    </row>
    <row r="577" spans="1:40" ht="15.75" customHeight="1" x14ac:dyDescent="0.2">
      <c r="A577" s="27">
        <v>45297</v>
      </c>
      <c r="B577" s="13">
        <v>2024</v>
      </c>
      <c r="C577" s="13">
        <v>6</v>
      </c>
      <c r="D577" s="13">
        <f t="shared" si="23"/>
        <v>7</v>
      </c>
      <c r="E577" s="13"/>
      <c r="F577" s="13">
        <f t="shared" si="25"/>
        <v>5</v>
      </c>
      <c r="G577" s="14">
        <v>0</v>
      </c>
      <c r="H577" s="14">
        <v>1</v>
      </c>
      <c r="I577" s="14">
        <v>1</v>
      </c>
      <c r="J577" s="14">
        <v>1</v>
      </c>
      <c r="K577" s="14">
        <v>1</v>
      </c>
      <c r="L577" s="14">
        <v>1</v>
      </c>
      <c r="M577" s="15">
        <v>334.10899999999998</v>
      </c>
      <c r="N577" s="16" t="str">
        <f t="shared" si="24"/>
        <v>NW</v>
      </c>
      <c r="O577" s="17">
        <v>7.7</v>
      </c>
      <c r="P577" s="16" t="s">
        <v>140</v>
      </c>
      <c r="Q577" s="18">
        <v>0.8</v>
      </c>
      <c r="R577" s="19">
        <v>6.19</v>
      </c>
      <c r="S577" s="19">
        <v>5.0999999999999996</v>
      </c>
      <c r="T577" s="19">
        <v>7.4</v>
      </c>
      <c r="U577" s="20">
        <v>328.66</v>
      </c>
      <c r="V577" s="16" t="s">
        <v>6</v>
      </c>
      <c r="W577" s="21">
        <v>0.21</v>
      </c>
      <c r="X577" s="21">
        <v>0</v>
      </c>
      <c r="Y577" s="21">
        <v>0</v>
      </c>
      <c r="Z577" s="21">
        <v>0</v>
      </c>
      <c r="AA577" s="21">
        <v>0</v>
      </c>
      <c r="AB577" s="21">
        <v>0</v>
      </c>
      <c r="AC577" s="21">
        <v>0</v>
      </c>
      <c r="AD577" s="21">
        <v>0.79</v>
      </c>
      <c r="AE577" s="21">
        <v>8.74</v>
      </c>
      <c r="AF577" s="21">
        <v>8.58</v>
      </c>
      <c r="AG577" s="21">
        <v>11.5</v>
      </c>
      <c r="AH577" s="18" t="s">
        <v>38</v>
      </c>
      <c r="AI577" s="13" t="str">
        <f>VLOOKUP(AH577,'Hess and Brezowsky'!$B$2:$G$31,2,FALSE)</f>
        <v>Meridional</v>
      </c>
      <c r="AJ577" s="18" t="str">
        <f>VLOOKUP(AH577,'Hess and Brezowsky'!$B$2:$G$31,3,FALSE)</f>
        <v>C</v>
      </c>
      <c r="AK577" s="13" t="str">
        <f>VLOOKUP(AH577,'Hess and Brezowsky'!$B$2:$G$31,4,FALSE)</f>
        <v>High Scandinavia-Iceland, Trough Central Europe</v>
      </c>
      <c r="AL577" s="29">
        <v>0.32267361111111109</v>
      </c>
      <c r="AM577" s="29">
        <v>0.49806712962962962</v>
      </c>
      <c r="AN577" s="30">
        <v>0.6734606481481481</v>
      </c>
    </row>
    <row r="578" spans="1:40" ht="15.75" customHeight="1" x14ac:dyDescent="0.2">
      <c r="A578" s="27">
        <v>45298</v>
      </c>
      <c r="B578" s="13">
        <v>2024</v>
      </c>
      <c r="C578" s="13">
        <v>7</v>
      </c>
      <c r="D578" s="13">
        <f t="shared" ref="D578:D636" si="26">WEEKDAY(A578)</f>
        <v>1</v>
      </c>
      <c r="E578" s="13"/>
      <c r="F578" s="13">
        <f t="shared" si="25"/>
        <v>5</v>
      </c>
      <c r="G578" s="14">
        <v>0</v>
      </c>
      <c r="H578" s="14">
        <v>1</v>
      </c>
      <c r="I578" s="14">
        <v>1</v>
      </c>
      <c r="J578" s="14">
        <v>1</v>
      </c>
      <c r="K578" s="14">
        <v>1</v>
      </c>
      <c r="L578" s="14">
        <v>1</v>
      </c>
      <c r="M578" s="15">
        <v>6.1950000000000003</v>
      </c>
      <c r="N578" s="16" t="str">
        <f t="shared" ref="N578:N608" si="27">IF(AND(M578 &gt; 22.5,M578&lt;=67.6),"NE",IF(AND(M578 &gt; 67.5,M578&lt;=112.5),"E",IF(AND(M578 &gt; 112.5,M578&lt;=157.5),"SE",IF(AND(M578 &gt; 157.5,M578&lt;=202.5),"S",IF(AND(M578 &gt; 202.5,M578&lt;=247.5),"SW",IF(AND(M578 &gt; 247.5,M578&lt;=292.5),"W",IF(AND(M578 &gt; 292.5,M578&lt;=337.5),"NW",IF(AND(M578 &gt; 22.5,M578&lt;=360),"N","N"))))))))</f>
        <v>N</v>
      </c>
      <c r="O578" s="17">
        <v>8.4</v>
      </c>
      <c r="P578" s="16" t="s">
        <v>140</v>
      </c>
      <c r="Q578" s="18">
        <v>0</v>
      </c>
      <c r="R578" s="19">
        <v>3.42</v>
      </c>
      <c r="S578" s="19">
        <v>0.2</v>
      </c>
      <c r="T578" s="19">
        <v>5.0999999999999996</v>
      </c>
      <c r="U578" s="20">
        <v>0.68</v>
      </c>
      <c r="V578" s="16" t="s">
        <v>7</v>
      </c>
      <c r="W578" s="21">
        <v>0.92</v>
      </c>
      <c r="X578" s="21">
        <v>0.08</v>
      </c>
      <c r="Y578" s="21">
        <v>0</v>
      </c>
      <c r="Z578" s="21">
        <v>0</v>
      </c>
      <c r="AA578" s="21">
        <v>0</v>
      </c>
      <c r="AB578" s="21">
        <v>0</v>
      </c>
      <c r="AC578" s="21">
        <v>0</v>
      </c>
      <c r="AD578" s="21">
        <v>0</v>
      </c>
      <c r="AE578" s="21">
        <v>9.1</v>
      </c>
      <c r="AF578" s="21">
        <v>8.8000000000000007</v>
      </c>
      <c r="AG578" s="21">
        <v>11.5</v>
      </c>
      <c r="AH578" s="18" t="s">
        <v>38</v>
      </c>
      <c r="AI578" s="13" t="str">
        <f>VLOOKUP(AH578,'Hess and Brezowsky'!$B$2:$G$31,2,FALSE)</f>
        <v>Meridional</v>
      </c>
      <c r="AJ578" s="18" t="str">
        <f>VLOOKUP(AH578,'Hess and Brezowsky'!$B$2:$G$31,3,FALSE)</f>
        <v>C</v>
      </c>
      <c r="AK578" s="13" t="str">
        <f>VLOOKUP(AH578,'Hess and Brezowsky'!$B$2:$G$31,4,FALSE)</f>
        <v>High Scandinavia-Iceland, Trough Central Europe</v>
      </c>
      <c r="AL578" s="29">
        <v>0.32247685185185188</v>
      </c>
      <c r="AM578" s="29">
        <v>0.49836805555555558</v>
      </c>
      <c r="AN578" s="30">
        <v>0.67424768518518519</v>
      </c>
    </row>
    <row r="579" spans="1:40" ht="15.75" customHeight="1" x14ac:dyDescent="0.2">
      <c r="A579" s="27">
        <v>45299</v>
      </c>
      <c r="B579" s="13">
        <v>2024</v>
      </c>
      <c r="C579" s="13">
        <v>8</v>
      </c>
      <c r="D579" s="13">
        <f t="shared" si="26"/>
        <v>2</v>
      </c>
      <c r="E579" s="13"/>
      <c r="F579" s="13">
        <f t="shared" si="25"/>
        <v>5</v>
      </c>
      <c r="G579" s="14">
        <v>0</v>
      </c>
      <c r="H579" s="14">
        <v>1</v>
      </c>
      <c r="I579" s="14">
        <v>1</v>
      </c>
      <c r="J579" s="14">
        <v>1</v>
      </c>
      <c r="K579" s="14">
        <v>1</v>
      </c>
      <c r="L579" s="14">
        <v>1</v>
      </c>
      <c r="M579" s="15">
        <v>36.841000000000001</v>
      </c>
      <c r="N579" s="16" t="str">
        <f t="shared" si="27"/>
        <v>NE</v>
      </c>
      <c r="O579" s="17">
        <v>7.8</v>
      </c>
      <c r="P579" s="16" t="s">
        <v>137</v>
      </c>
      <c r="Q579" s="18">
        <v>0.4</v>
      </c>
      <c r="R579" s="19">
        <v>-0.66</v>
      </c>
      <c r="S579" s="19">
        <v>-1.4</v>
      </c>
      <c r="T579" s="19">
        <v>0.2</v>
      </c>
      <c r="U579" s="20">
        <v>33.049999999999997</v>
      </c>
      <c r="V579" s="16" t="s">
        <v>10</v>
      </c>
      <c r="W579" s="21">
        <v>0</v>
      </c>
      <c r="X579" s="21">
        <v>1</v>
      </c>
      <c r="Y579" s="21">
        <v>0</v>
      </c>
      <c r="Z579" s="21">
        <v>0</v>
      </c>
      <c r="AA579" s="21">
        <v>0</v>
      </c>
      <c r="AB579" s="21">
        <v>0</v>
      </c>
      <c r="AC579" s="21">
        <v>0</v>
      </c>
      <c r="AD579" s="21">
        <v>0</v>
      </c>
      <c r="AE579" s="21">
        <v>8</v>
      </c>
      <c r="AF579" s="21">
        <v>7.99</v>
      </c>
      <c r="AG579" s="21">
        <v>11.5</v>
      </c>
      <c r="AH579" s="18" t="s">
        <v>38</v>
      </c>
      <c r="AI579" s="13" t="str">
        <f>VLOOKUP(AH579,'Hess and Brezowsky'!$B$2:$G$31,2,FALSE)</f>
        <v>Meridional</v>
      </c>
      <c r="AJ579" s="18" t="str">
        <f>VLOOKUP(AH579,'Hess and Brezowsky'!$B$2:$G$31,3,FALSE)</f>
        <v>C</v>
      </c>
      <c r="AK579" s="13" t="str">
        <f>VLOOKUP(AH579,'Hess and Brezowsky'!$B$2:$G$31,4,FALSE)</f>
        <v>High Scandinavia-Iceland, Trough Central Europe</v>
      </c>
      <c r="AL579" s="29">
        <v>0.32225694444444447</v>
      </c>
      <c r="AM579" s="29">
        <v>0.49865740740740738</v>
      </c>
      <c r="AN579" s="30">
        <v>0.6750694444444445</v>
      </c>
    </row>
    <row r="580" spans="1:40" ht="15.75" customHeight="1" x14ac:dyDescent="0.2">
      <c r="A580" s="27">
        <v>45300</v>
      </c>
      <c r="B580" s="13">
        <v>2024</v>
      </c>
      <c r="C580" s="13">
        <v>9</v>
      </c>
      <c r="D580" s="13">
        <f t="shared" si="26"/>
        <v>3</v>
      </c>
      <c r="E580" s="13"/>
      <c r="F580" s="13">
        <f t="shared" si="25"/>
        <v>5</v>
      </c>
      <c r="G580" s="14">
        <v>0</v>
      </c>
      <c r="H580" s="14">
        <v>1</v>
      </c>
      <c r="I580" s="14">
        <v>0.79</v>
      </c>
      <c r="J580" s="14">
        <v>1</v>
      </c>
      <c r="K580" s="14">
        <v>1</v>
      </c>
      <c r="L580" s="14">
        <v>1</v>
      </c>
      <c r="M580" s="15">
        <v>67.653000000000006</v>
      </c>
      <c r="N580" s="16" t="str">
        <f t="shared" si="27"/>
        <v>E</v>
      </c>
      <c r="O580" s="17">
        <v>5.5</v>
      </c>
      <c r="P580" s="16" t="s">
        <v>137</v>
      </c>
      <c r="Q580" s="18">
        <v>0</v>
      </c>
      <c r="R580" s="19">
        <v>-1.61</v>
      </c>
      <c r="S580" s="19">
        <v>-2.2000000000000002</v>
      </c>
      <c r="T580" s="19">
        <v>-1.2</v>
      </c>
      <c r="U580" s="20">
        <v>67.69</v>
      </c>
      <c r="V580" s="16" t="s">
        <v>9</v>
      </c>
      <c r="W580" s="21">
        <v>0</v>
      </c>
      <c r="X580" s="21">
        <v>0.57999999999999996</v>
      </c>
      <c r="Y580" s="21">
        <v>0.42</v>
      </c>
      <c r="Z580" s="21">
        <v>0</v>
      </c>
      <c r="AA580" s="21">
        <v>0</v>
      </c>
      <c r="AB580" s="21">
        <v>0</v>
      </c>
      <c r="AC580" s="21">
        <v>0</v>
      </c>
      <c r="AD580" s="21">
        <v>0</v>
      </c>
      <c r="AE580" s="21">
        <v>6.01</v>
      </c>
      <c r="AF580" s="21">
        <v>5.73</v>
      </c>
      <c r="AG580" s="21">
        <v>8.6</v>
      </c>
      <c r="AH580" s="18" t="s">
        <v>14</v>
      </c>
      <c r="AI580" s="13" t="str">
        <f>VLOOKUP(AH580,'Hess and Brezowsky'!$B$2:$G$31,2,FALSE)</f>
        <v>Meridional</v>
      </c>
      <c r="AJ580" s="18" t="str">
        <f>VLOOKUP(AH580,'Hess and Brezowsky'!$B$2:$G$31,3,FALSE)</f>
        <v>A</v>
      </c>
      <c r="AK580" s="13" t="str">
        <f>VLOOKUP(AH580,'Hess and Brezowsky'!$B$2:$G$31,4,FALSE)</f>
        <v>High over the British Isles</v>
      </c>
      <c r="AL580" s="29">
        <v>0.32199074074074074</v>
      </c>
      <c r="AM580" s="29">
        <v>0.49894675925925924</v>
      </c>
      <c r="AN580" s="30">
        <v>0.67591435185185189</v>
      </c>
    </row>
    <row r="581" spans="1:40" ht="15.75" customHeight="1" x14ac:dyDescent="0.2">
      <c r="A581" s="27">
        <v>45301</v>
      </c>
      <c r="B581" s="13">
        <v>2024</v>
      </c>
      <c r="C581" s="13">
        <v>10</v>
      </c>
      <c r="D581" s="13">
        <f t="shared" si="26"/>
        <v>4</v>
      </c>
      <c r="E581" s="13"/>
      <c r="F581" s="13">
        <f t="shared" si="25"/>
        <v>4</v>
      </c>
      <c r="G581" s="14">
        <v>0</v>
      </c>
      <c r="H581" s="14">
        <v>1</v>
      </c>
      <c r="I581" s="14">
        <v>0</v>
      </c>
      <c r="J581" s="14">
        <v>1</v>
      </c>
      <c r="K581" s="14">
        <v>1</v>
      </c>
      <c r="L581" s="14">
        <v>1</v>
      </c>
      <c r="M581" s="15">
        <v>65.180999999999997</v>
      </c>
      <c r="N581" s="16" t="str">
        <f t="shared" si="27"/>
        <v>NE</v>
      </c>
      <c r="O581" s="17">
        <v>4.8</v>
      </c>
      <c r="P581" s="16" t="s">
        <v>138</v>
      </c>
      <c r="Q581" s="18">
        <v>0</v>
      </c>
      <c r="R581" s="19">
        <v>-0.54</v>
      </c>
      <c r="S581" s="19">
        <v>-1.9</v>
      </c>
      <c r="T581" s="19">
        <v>1.2</v>
      </c>
      <c r="U581" s="20">
        <v>70.53</v>
      </c>
      <c r="V581" s="16" t="s">
        <v>9</v>
      </c>
      <c r="W581" s="21">
        <v>0</v>
      </c>
      <c r="X581" s="21">
        <v>0.42</v>
      </c>
      <c r="Y581" s="21">
        <v>0.57999999999999996</v>
      </c>
      <c r="Z581" s="21">
        <v>0</v>
      </c>
      <c r="AA581" s="21">
        <v>0</v>
      </c>
      <c r="AB581" s="21">
        <v>0</v>
      </c>
      <c r="AC581" s="21">
        <v>0</v>
      </c>
      <c r="AD581" s="21">
        <v>0</v>
      </c>
      <c r="AE581" s="21">
        <v>4.8099999999999996</v>
      </c>
      <c r="AF581" s="21">
        <v>4.7699999999999996</v>
      </c>
      <c r="AG581" s="21">
        <v>9.1</v>
      </c>
      <c r="AH581" s="18" t="s">
        <v>14</v>
      </c>
      <c r="AI581" s="13" t="str">
        <f>VLOOKUP(AH581,'Hess and Brezowsky'!$B$2:$G$31,2,FALSE)</f>
        <v>Meridional</v>
      </c>
      <c r="AJ581" s="18" t="str">
        <f>VLOOKUP(AH581,'Hess and Brezowsky'!$B$2:$G$31,3,FALSE)</f>
        <v>A</v>
      </c>
      <c r="AK581" s="13" t="str">
        <f>VLOOKUP(AH581,'Hess and Brezowsky'!$B$2:$G$31,4,FALSE)</f>
        <v>High over the British Isles</v>
      </c>
      <c r="AL581" s="29">
        <v>0.32170138888888888</v>
      </c>
      <c r="AM581" s="29">
        <v>0.4992361111111111</v>
      </c>
      <c r="AN581" s="30">
        <v>0.67677083333333332</v>
      </c>
    </row>
    <row r="582" spans="1:40" ht="15.75" customHeight="1" x14ac:dyDescent="0.2">
      <c r="A582" s="27">
        <v>45302</v>
      </c>
      <c r="B582" s="13">
        <v>2024</v>
      </c>
      <c r="C582" s="13">
        <v>11</v>
      </c>
      <c r="D582" s="13">
        <f t="shared" si="26"/>
        <v>5</v>
      </c>
      <c r="E582" s="32" t="s">
        <v>50</v>
      </c>
      <c r="F582" s="13">
        <f t="shared" si="25"/>
        <v>5</v>
      </c>
      <c r="G582" s="14">
        <v>0</v>
      </c>
      <c r="H582" s="14">
        <v>1</v>
      </c>
      <c r="I582" s="14">
        <v>1</v>
      </c>
      <c r="J582" s="14">
        <v>1</v>
      </c>
      <c r="K582" s="14">
        <v>1</v>
      </c>
      <c r="L582" s="14">
        <v>1</v>
      </c>
      <c r="M582" s="15">
        <v>33.125</v>
      </c>
      <c r="N582" s="16" t="str">
        <f t="shared" si="27"/>
        <v>NE</v>
      </c>
      <c r="O582" s="17">
        <v>8.1999999999999993</v>
      </c>
      <c r="P582" s="16" t="s">
        <v>139</v>
      </c>
      <c r="Q582" s="18">
        <v>0</v>
      </c>
      <c r="R582" s="19">
        <v>-0.02</v>
      </c>
      <c r="S582" s="19">
        <v>-1.5</v>
      </c>
      <c r="T582" s="19">
        <v>2.5</v>
      </c>
      <c r="U582" s="20">
        <v>39.17</v>
      </c>
      <c r="V582" s="16" t="s">
        <v>10</v>
      </c>
      <c r="W582" s="21">
        <v>0.42</v>
      </c>
      <c r="X582" s="21">
        <v>0.33</v>
      </c>
      <c r="Y582" s="21">
        <v>0.25</v>
      </c>
      <c r="Z582" s="21">
        <v>0</v>
      </c>
      <c r="AA582" s="21">
        <v>0</v>
      </c>
      <c r="AB582" s="21">
        <v>0</v>
      </c>
      <c r="AC582" s="21">
        <v>0</v>
      </c>
      <c r="AD582" s="21">
        <v>0</v>
      </c>
      <c r="AE582" s="21">
        <v>8.58</v>
      </c>
      <c r="AF582" s="21">
        <v>7.88</v>
      </c>
      <c r="AG582" s="21">
        <v>12.8</v>
      </c>
      <c r="AH582" s="18" t="s">
        <v>14</v>
      </c>
      <c r="AI582" s="13" t="str">
        <f>VLOOKUP(AH582,'Hess and Brezowsky'!$B$2:$G$31,2,FALSE)</f>
        <v>Meridional</v>
      </c>
      <c r="AJ582" s="18" t="str">
        <f>VLOOKUP(AH582,'Hess and Brezowsky'!$B$2:$G$31,3,FALSE)</f>
        <v>A</v>
      </c>
      <c r="AK582" s="13" t="str">
        <f>VLOOKUP(AH582,'Hess and Brezowsky'!$B$2:$G$31,4,FALSE)</f>
        <v>High over the British Isles</v>
      </c>
      <c r="AL582" s="29">
        <v>0.3213773148148148</v>
      </c>
      <c r="AM582" s="29">
        <v>0.49951388888888887</v>
      </c>
      <c r="AN582" s="30">
        <v>0.67766203703703709</v>
      </c>
    </row>
    <row r="583" spans="1:40" ht="15.75" customHeight="1" x14ac:dyDescent="0.2">
      <c r="A583" s="27">
        <v>45303</v>
      </c>
      <c r="B583" s="13">
        <v>2024</v>
      </c>
      <c r="C583" s="13">
        <v>12</v>
      </c>
      <c r="D583" s="13">
        <f t="shared" si="26"/>
        <v>6</v>
      </c>
      <c r="E583" s="13"/>
      <c r="F583" s="13">
        <f t="shared" si="25"/>
        <v>5</v>
      </c>
      <c r="G583" s="14">
        <v>0</v>
      </c>
      <c r="H583" s="14">
        <v>1</v>
      </c>
      <c r="I583" s="14">
        <v>1</v>
      </c>
      <c r="J583" s="14">
        <v>1</v>
      </c>
      <c r="K583" s="14">
        <v>1</v>
      </c>
      <c r="L583" s="14">
        <v>1</v>
      </c>
      <c r="M583" s="15">
        <v>32.622</v>
      </c>
      <c r="N583" s="16" t="str">
        <f t="shared" si="27"/>
        <v>NE</v>
      </c>
      <c r="O583" s="17">
        <v>6.4</v>
      </c>
      <c r="P583" s="16" t="s">
        <v>140</v>
      </c>
      <c r="Q583" s="18">
        <v>0</v>
      </c>
      <c r="R583" s="19">
        <v>1.91</v>
      </c>
      <c r="S583" s="19">
        <v>-0.1</v>
      </c>
      <c r="T583" s="19">
        <v>3.5</v>
      </c>
      <c r="U583" s="20">
        <v>32.409999999999997</v>
      </c>
      <c r="V583" s="16" t="s">
        <v>10</v>
      </c>
      <c r="W583" s="21">
        <v>0.12</v>
      </c>
      <c r="X583" s="21">
        <v>0.88</v>
      </c>
      <c r="Y583" s="21">
        <v>0</v>
      </c>
      <c r="Z583" s="21">
        <v>0</v>
      </c>
      <c r="AA583" s="21">
        <v>0</v>
      </c>
      <c r="AB583" s="21">
        <v>0</v>
      </c>
      <c r="AC583" s="21">
        <v>0</v>
      </c>
      <c r="AD583" s="21">
        <v>0</v>
      </c>
      <c r="AE583" s="21">
        <v>6.93</v>
      </c>
      <c r="AF583" s="21">
        <v>6.88</v>
      </c>
      <c r="AG583" s="21">
        <v>13.2</v>
      </c>
      <c r="AH583" s="18" t="s">
        <v>14</v>
      </c>
      <c r="AI583" s="13" t="str">
        <f>VLOOKUP(AH583,'Hess and Brezowsky'!$B$2:$G$31,2,FALSE)</f>
        <v>Meridional</v>
      </c>
      <c r="AJ583" s="18" t="str">
        <f>VLOOKUP(AH583,'Hess and Brezowsky'!$B$2:$G$31,3,FALSE)</f>
        <v>A</v>
      </c>
      <c r="AK583" s="13" t="str">
        <f>VLOOKUP(AH583,'Hess and Brezowsky'!$B$2:$G$31,4,FALSE)</f>
        <v>High over the British Isles</v>
      </c>
      <c r="AL583" s="29">
        <v>0.32101851851851854</v>
      </c>
      <c r="AM583" s="29">
        <v>0.49979166666666669</v>
      </c>
      <c r="AN583" s="30">
        <v>0.67856481481481479</v>
      </c>
    </row>
    <row r="584" spans="1:40" ht="15.75" customHeight="1" x14ac:dyDescent="0.2">
      <c r="A584" s="27">
        <v>45304</v>
      </c>
      <c r="B584" s="13">
        <v>2024</v>
      </c>
      <c r="C584" s="13">
        <v>13</v>
      </c>
      <c r="D584" s="13">
        <f t="shared" si="26"/>
        <v>7</v>
      </c>
      <c r="E584" s="13"/>
      <c r="F584" s="13">
        <f t="shared" si="25"/>
        <v>5</v>
      </c>
      <c r="G584" s="14">
        <v>0</v>
      </c>
      <c r="H584" s="14">
        <v>1</v>
      </c>
      <c r="I584" s="14">
        <v>1</v>
      </c>
      <c r="J584" s="14">
        <v>1</v>
      </c>
      <c r="K584" s="14">
        <v>1</v>
      </c>
      <c r="L584" s="14">
        <v>0.95</v>
      </c>
      <c r="M584" s="15">
        <v>124.60299999999999</v>
      </c>
      <c r="N584" s="16" t="str">
        <f t="shared" si="27"/>
        <v>SE</v>
      </c>
      <c r="O584" s="17">
        <v>1.8</v>
      </c>
      <c r="P584" s="16" t="s">
        <v>140</v>
      </c>
      <c r="Q584" s="18">
        <v>0</v>
      </c>
      <c r="R584" s="19">
        <v>-1.03</v>
      </c>
      <c r="S584" s="19">
        <v>-1.9</v>
      </c>
      <c r="T584" s="19">
        <v>0</v>
      </c>
      <c r="U584" s="20">
        <v>103.25</v>
      </c>
      <c r="V584" s="16" t="s">
        <v>9</v>
      </c>
      <c r="W584" s="21">
        <v>0.04</v>
      </c>
      <c r="X584" s="21">
        <v>0.21</v>
      </c>
      <c r="Y584" s="21">
        <v>0.25</v>
      </c>
      <c r="Z584" s="21">
        <v>0.25</v>
      </c>
      <c r="AA584" s="21">
        <v>0.17</v>
      </c>
      <c r="AB584" s="21">
        <v>0.04</v>
      </c>
      <c r="AC584" s="21">
        <v>0.04</v>
      </c>
      <c r="AD584" s="21">
        <v>0</v>
      </c>
      <c r="AE584" s="21">
        <v>1.72</v>
      </c>
      <c r="AF584" s="21">
        <v>1.1399999999999999</v>
      </c>
      <c r="AG584" s="21">
        <v>4.5999999999999996</v>
      </c>
      <c r="AH584" s="18" t="s">
        <v>29</v>
      </c>
      <c r="AI584" s="13" t="str">
        <f>VLOOKUP(AH584,'Hess and Brezowsky'!$B$2:$G$31,2,FALSE)</f>
        <v>Mixed</v>
      </c>
      <c r="AJ584" s="18" t="str">
        <f>VLOOKUP(AH584,'Hess and Brezowsky'!$B$2:$G$31,3,FALSE)</f>
        <v>C</v>
      </c>
      <c r="AK584" s="13" t="str">
        <f>VLOOKUP(AH584,'Hess and Brezowsky'!$B$2:$G$31,4,FALSE)</f>
        <v>Cyclonic North-Westerly</v>
      </c>
      <c r="AL584" s="29">
        <v>0.32062499999999999</v>
      </c>
      <c r="AM584" s="29">
        <v>0.50005787037037042</v>
      </c>
      <c r="AN584" s="30">
        <v>0.67949074074074078</v>
      </c>
    </row>
    <row r="585" spans="1:40" ht="15.75" customHeight="1" x14ac:dyDescent="0.2">
      <c r="A585" s="27">
        <v>45305</v>
      </c>
      <c r="B585" s="13">
        <v>2024</v>
      </c>
      <c r="C585" s="13">
        <v>14</v>
      </c>
      <c r="D585" s="13">
        <f t="shared" si="26"/>
        <v>1</v>
      </c>
      <c r="E585" s="13"/>
      <c r="F585" s="13">
        <f t="shared" si="25"/>
        <v>4</v>
      </c>
      <c r="G585" s="14">
        <v>0</v>
      </c>
      <c r="H585" s="14">
        <v>1</v>
      </c>
      <c r="I585" s="14">
        <v>0.04</v>
      </c>
      <c r="J585" s="14">
        <v>1</v>
      </c>
      <c r="K585" s="14">
        <v>1</v>
      </c>
      <c r="L585" s="14">
        <v>1</v>
      </c>
      <c r="M585" s="15">
        <v>252.12100000000001</v>
      </c>
      <c r="N585" s="16" t="str">
        <f t="shared" si="27"/>
        <v>W</v>
      </c>
      <c r="O585" s="17">
        <v>3</v>
      </c>
      <c r="P585" s="16" t="s">
        <v>137</v>
      </c>
      <c r="Q585" s="18">
        <v>0</v>
      </c>
      <c r="R585" s="19">
        <v>-1.45</v>
      </c>
      <c r="S585" s="19">
        <v>-2.8</v>
      </c>
      <c r="T585" s="19">
        <v>0.2</v>
      </c>
      <c r="U585" s="20">
        <v>256.95999999999998</v>
      </c>
      <c r="V585" s="16" t="s">
        <v>16</v>
      </c>
      <c r="W585" s="21">
        <v>0.04</v>
      </c>
      <c r="X585" s="21">
        <v>0</v>
      </c>
      <c r="Y585" s="21">
        <v>0.04</v>
      </c>
      <c r="Z585" s="21">
        <v>0.12</v>
      </c>
      <c r="AA585" s="21">
        <v>0.17</v>
      </c>
      <c r="AB585" s="21">
        <v>0.33</v>
      </c>
      <c r="AC585" s="21">
        <v>0.28999999999999998</v>
      </c>
      <c r="AD585" s="21">
        <v>0</v>
      </c>
      <c r="AE585" s="21">
        <v>3.08</v>
      </c>
      <c r="AF585" s="21">
        <v>2.21</v>
      </c>
      <c r="AG585" s="21">
        <v>10.5</v>
      </c>
      <c r="AH585" s="18" t="s">
        <v>29</v>
      </c>
      <c r="AI585" s="13" t="str">
        <f>VLOOKUP(AH585,'Hess and Brezowsky'!$B$2:$G$31,2,FALSE)</f>
        <v>Mixed</v>
      </c>
      <c r="AJ585" s="18" t="str">
        <f>VLOOKUP(AH585,'Hess and Brezowsky'!$B$2:$G$31,3,FALSE)</f>
        <v>C</v>
      </c>
      <c r="AK585" s="13" t="str">
        <f>VLOOKUP(AH585,'Hess and Brezowsky'!$B$2:$G$31,4,FALSE)</f>
        <v>Cyclonic North-Westerly</v>
      </c>
      <c r="AL585" s="29">
        <v>0.32020833333333332</v>
      </c>
      <c r="AM585" s="29">
        <v>0.50032407407407409</v>
      </c>
      <c r="AN585" s="30">
        <v>0.68042824074074071</v>
      </c>
    </row>
    <row r="586" spans="1:40" ht="15.75" customHeight="1" x14ac:dyDescent="0.2">
      <c r="A586" s="27">
        <v>45306</v>
      </c>
      <c r="B586" s="13">
        <v>2024</v>
      </c>
      <c r="C586" s="13">
        <v>15</v>
      </c>
      <c r="D586" s="13">
        <f t="shared" si="26"/>
        <v>2</v>
      </c>
      <c r="E586" s="13"/>
      <c r="F586" s="13">
        <f t="shared" si="25"/>
        <v>5</v>
      </c>
      <c r="G586" s="14">
        <v>0</v>
      </c>
      <c r="H586" s="14">
        <v>1</v>
      </c>
      <c r="I586" s="14">
        <v>1</v>
      </c>
      <c r="J586" s="14">
        <v>1</v>
      </c>
      <c r="K586" s="14">
        <v>1</v>
      </c>
      <c r="L586" s="14">
        <v>1</v>
      </c>
      <c r="M586" s="15">
        <v>307.75099999999998</v>
      </c>
      <c r="N586" s="16" t="str">
        <f t="shared" si="27"/>
        <v>NW</v>
      </c>
      <c r="O586" s="17">
        <v>6.4</v>
      </c>
      <c r="P586" s="16" t="s">
        <v>137</v>
      </c>
      <c r="Q586" s="18">
        <v>0</v>
      </c>
      <c r="R586" s="19">
        <v>2.14</v>
      </c>
      <c r="S586" s="19">
        <v>-1</v>
      </c>
      <c r="T586" s="19">
        <v>5</v>
      </c>
      <c r="U586" s="20">
        <v>301.10000000000002</v>
      </c>
      <c r="V586" s="16" t="s">
        <v>6</v>
      </c>
      <c r="W586" s="21">
        <v>0.08</v>
      </c>
      <c r="X586" s="21">
        <v>0.08</v>
      </c>
      <c r="Y586" s="21">
        <v>0</v>
      </c>
      <c r="Z586" s="21">
        <v>0</v>
      </c>
      <c r="AA586" s="21">
        <v>0</v>
      </c>
      <c r="AB586" s="21">
        <v>0</v>
      </c>
      <c r="AC586" s="21">
        <v>0.38</v>
      </c>
      <c r="AD586" s="21">
        <v>0.46</v>
      </c>
      <c r="AE586" s="21">
        <v>7.79</v>
      </c>
      <c r="AF586" s="21">
        <v>7.13</v>
      </c>
      <c r="AG586" s="21">
        <v>13.6</v>
      </c>
      <c r="AH586" s="18" t="s">
        <v>29</v>
      </c>
      <c r="AI586" s="13" t="str">
        <f>VLOOKUP(AH586,'Hess and Brezowsky'!$B$2:$G$31,2,FALSE)</f>
        <v>Mixed</v>
      </c>
      <c r="AJ586" s="18" t="str">
        <f>VLOOKUP(AH586,'Hess and Brezowsky'!$B$2:$G$31,3,FALSE)</f>
        <v>C</v>
      </c>
      <c r="AK586" s="13" t="str">
        <f>VLOOKUP(AH586,'Hess and Brezowsky'!$B$2:$G$31,4,FALSE)</f>
        <v>Cyclonic North-Westerly</v>
      </c>
      <c r="AL586" s="29">
        <v>0.31975694444444447</v>
      </c>
      <c r="AM586" s="29">
        <v>0.50057870370370372</v>
      </c>
      <c r="AN586" s="30">
        <v>0.68138888888888893</v>
      </c>
    </row>
    <row r="587" spans="1:40" ht="15.75" customHeight="1" x14ac:dyDescent="0.2">
      <c r="A587" s="27">
        <v>45307</v>
      </c>
      <c r="B587" s="13">
        <v>2024</v>
      </c>
      <c r="C587" s="13">
        <v>16</v>
      </c>
      <c r="D587" s="13">
        <f t="shared" si="26"/>
        <v>3</v>
      </c>
      <c r="E587" s="13"/>
      <c r="F587" s="13">
        <f t="shared" si="25"/>
        <v>5</v>
      </c>
      <c r="G587" s="14">
        <v>0</v>
      </c>
      <c r="H587" s="14">
        <v>1</v>
      </c>
      <c r="I587" s="14">
        <v>1</v>
      </c>
      <c r="J587" s="14">
        <v>1</v>
      </c>
      <c r="K587" s="14">
        <v>1</v>
      </c>
      <c r="L587" s="14">
        <v>1</v>
      </c>
      <c r="M587" s="15">
        <v>142.464</v>
      </c>
      <c r="N587" s="16" t="str">
        <f t="shared" si="27"/>
        <v>SE</v>
      </c>
      <c r="O587" s="17">
        <v>3.5</v>
      </c>
      <c r="P587" s="16" t="s">
        <v>138</v>
      </c>
      <c r="Q587" s="18">
        <v>0</v>
      </c>
      <c r="R587" s="19">
        <v>-0.23</v>
      </c>
      <c r="S587" s="19">
        <v>-3.1</v>
      </c>
      <c r="T587" s="19">
        <v>4.0999999999999996</v>
      </c>
      <c r="U587" s="20">
        <v>146.07</v>
      </c>
      <c r="V587" s="16" t="s">
        <v>11</v>
      </c>
      <c r="W587" s="21">
        <v>0</v>
      </c>
      <c r="X587" s="21">
        <v>0</v>
      </c>
      <c r="Y587" s="21">
        <v>0.04</v>
      </c>
      <c r="Z587" s="21">
        <v>0.57999999999999996</v>
      </c>
      <c r="AA587" s="21">
        <v>0.38</v>
      </c>
      <c r="AB587" s="21">
        <v>0</v>
      </c>
      <c r="AC587" s="21">
        <v>0</v>
      </c>
      <c r="AD587" s="21">
        <v>0</v>
      </c>
      <c r="AE587" s="21">
        <v>3.66</v>
      </c>
      <c r="AF587" s="21">
        <v>3.55</v>
      </c>
      <c r="AG587" s="21">
        <v>9.9</v>
      </c>
      <c r="AH587" s="18" t="s">
        <v>47</v>
      </c>
      <c r="AI587" s="13" t="str">
        <f>VLOOKUP(AH587,'Hess and Brezowsky'!$B$2:$G$31,2,FALSE)</f>
        <v>Zonal</v>
      </c>
      <c r="AJ587" s="18" t="str">
        <f>VLOOKUP(AH587,'Hess and Brezowsky'!$B$2:$G$31,3,FALSE)</f>
        <v>M</v>
      </c>
      <c r="AK587" s="13" t="str">
        <f>VLOOKUP(AH587,'Hess and Brezowsky'!$B$2:$G$31,4,FALSE)</f>
        <v>South-Shifted Westerly</v>
      </c>
      <c r="AL587" s="29">
        <v>0.31927083333333334</v>
      </c>
      <c r="AM587" s="29">
        <v>0.50082175925925931</v>
      </c>
      <c r="AN587" s="30">
        <v>0.68237268518518523</v>
      </c>
    </row>
    <row r="588" spans="1:40" ht="15.75" customHeight="1" x14ac:dyDescent="0.2">
      <c r="A588" s="27">
        <v>45308</v>
      </c>
      <c r="B588" s="13">
        <v>2024</v>
      </c>
      <c r="C588" s="13">
        <v>17</v>
      </c>
      <c r="D588" s="13">
        <f t="shared" si="26"/>
        <v>4</v>
      </c>
      <c r="E588" s="13"/>
      <c r="F588" s="13">
        <f t="shared" si="25"/>
        <v>5</v>
      </c>
      <c r="G588" s="14">
        <v>0</v>
      </c>
      <c r="H588" s="14">
        <v>1</v>
      </c>
      <c r="I588" s="14">
        <v>1</v>
      </c>
      <c r="J588" s="14">
        <v>1</v>
      </c>
      <c r="K588" s="14">
        <v>1</v>
      </c>
      <c r="L588" s="14">
        <v>1</v>
      </c>
      <c r="M588" s="15">
        <v>131.94200000000001</v>
      </c>
      <c r="N588" s="16" t="str">
        <f t="shared" si="27"/>
        <v>SE</v>
      </c>
      <c r="O588" s="17">
        <v>6.6</v>
      </c>
      <c r="P588" s="16" t="s">
        <v>140</v>
      </c>
      <c r="Q588" s="18">
        <v>25.9</v>
      </c>
      <c r="R588" s="19">
        <v>1.85</v>
      </c>
      <c r="S588" s="19">
        <v>-0.2</v>
      </c>
      <c r="T588" s="19">
        <v>5.4</v>
      </c>
      <c r="U588" s="20">
        <v>139.59</v>
      </c>
      <c r="V588" s="16" t="s">
        <v>11</v>
      </c>
      <c r="W588" s="21">
        <v>0.17</v>
      </c>
      <c r="X588" s="21">
        <v>0.17</v>
      </c>
      <c r="Y588" s="21">
        <v>0</v>
      </c>
      <c r="Z588" s="21">
        <v>0.33</v>
      </c>
      <c r="AA588" s="21">
        <v>0.12</v>
      </c>
      <c r="AB588" s="21">
        <v>0.12</v>
      </c>
      <c r="AC588" s="21">
        <v>0.04</v>
      </c>
      <c r="AD588" s="21">
        <v>0.04</v>
      </c>
      <c r="AE588" s="21">
        <v>6.59</v>
      </c>
      <c r="AF588" s="21">
        <v>2.3199999999999998</v>
      </c>
      <c r="AG588" s="21">
        <v>10.9</v>
      </c>
      <c r="AH588" s="18" t="s">
        <v>47</v>
      </c>
      <c r="AI588" s="13" t="str">
        <f>VLOOKUP(AH588,'Hess and Brezowsky'!$B$2:$G$31,2,FALSE)</f>
        <v>Zonal</v>
      </c>
      <c r="AJ588" s="18" t="str">
        <f>VLOOKUP(AH588,'Hess and Brezowsky'!$B$2:$G$31,3,FALSE)</f>
        <v>M</v>
      </c>
      <c r="AK588" s="13" t="str">
        <f>VLOOKUP(AH588,'Hess and Brezowsky'!$B$2:$G$31,4,FALSE)</f>
        <v>South-Shifted Westerly</v>
      </c>
      <c r="AL588" s="29">
        <v>0.31874999999999998</v>
      </c>
      <c r="AM588" s="29">
        <v>0.5010648148148148</v>
      </c>
      <c r="AN588" s="30">
        <v>0.68336805555555558</v>
      </c>
    </row>
    <row r="589" spans="1:40" ht="15.75" customHeight="1" x14ac:dyDescent="0.2">
      <c r="A589" s="27">
        <v>45309</v>
      </c>
      <c r="B589" s="13">
        <v>2024</v>
      </c>
      <c r="C589" s="13">
        <v>18</v>
      </c>
      <c r="D589" s="13">
        <f t="shared" si="26"/>
        <v>5</v>
      </c>
      <c r="E589" s="13"/>
      <c r="F589" s="13">
        <f t="shared" si="25"/>
        <v>5</v>
      </c>
      <c r="G589" s="14">
        <v>0</v>
      </c>
      <c r="H589" s="14">
        <v>1</v>
      </c>
      <c r="I589" s="14">
        <v>1</v>
      </c>
      <c r="J589" s="14">
        <v>1</v>
      </c>
      <c r="K589" s="14">
        <v>1</v>
      </c>
      <c r="L589" s="14">
        <v>1</v>
      </c>
      <c r="M589" s="15">
        <v>359.16300000000001</v>
      </c>
      <c r="N589" s="16" t="str">
        <f t="shared" si="27"/>
        <v>N</v>
      </c>
      <c r="O589" s="17">
        <v>7.8</v>
      </c>
      <c r="P589" s="16" t="s">
        <v>137</v>
      </c>
      <c r="Q589" s="18">
        <v>7.1</v>
      </c>
      <c r="R589" s="19">
        <v>0.94</v>
      </c>
      <c r="S589" s="19">
        <v>-0.5</v>
      </c>
      <c r="T589" s="19">
        <v>3.1</v>
      </c>
      <c r="U589" s="20">
        <v>342.85</v>
      </c>
      <c r="V589" s="16" t="s">
        <v>7</v>
      </c>
      <c r="W589" s="21">
        <v>0.21</v>
      </c>
      <c r="X589" s="21">
        <v>0.08</v>
      </c>
      <c r="Y589" s="21">
        <v>0.04</v>
      </c>
      <c r="Z589" s="21">
        <v>0</v>
      </c>
      <c r="AA589" s="21">
        <v>0</v>
      </c>
      <c r="AB589" s="21">
        <v>0</v>
      </c>
      <c r="AC589" s="21">
        <v>0</v>
      </c>
      <c r="AD589" s="21">
        <v>0.42</v>
      </c>
      <c r="AE589" s="21">
        <v>6.73</v>
      </c>
      <c r="AF589" s="21">
        <v>6.08</v>
      </c>
      <c r="AG589" s="21">
        <v>10.1</v>
      </c>
      <c r="AH589" s="18" t="s">
        <v>47</v>
      </c>
      <c r="AI589" s="13" t="str">
        <f>VLOOKUP(AH589,'Hess and Brezowsky'!$B$2:$G$31,2,FALSE)</f>
        <v>Zonal</v>
      </c>
      <c r="AJ589" s="18" t="str">
        <f>VLOOKUP(AH589,'Hess and Brezowsky'!$B$2:$G$31,3,FALSE)</f>
        <v>M</v>
      </c>
      <c r="AK589" s="13" t="str">
        <f>VLOOKUP(AH589,'Hess and Brezowsky'!$B$2:$G$31,4,FALSE)</f>
        <v>South-Shifted Westerly</v>
      </c>
      <c r="AL589" s="29">
        <v>0.31820601851851854</v>
      </c>
      <c r="AM589" s="29">
        <v>0.50129629629629635</v>
      </c>
      <c r="AN589" s="30">
        <v>0.68437499999999996</v>
      </c>
    </row>
    <row r="590" spans="1:40" ht="15.75" customHeight="1" x14ac:dyDescent="0.2">
      <c r="A590" s="27">
        <v>45310</v>
      </c>
      <c r="B590" s="13">
        <v>2024</v>
      </c>
      <c r="C590" s="13">
        <v>19</v>
      </c>
      <c r="D590" s="13">
        <f t="shared" si="26"/>
        <v>6</v>
      </c>
      <c r="E590" s="13"/>
      <c r="F590" s="13">
        <f t="shared" si="25"/>
        <v>5</v>
      </c>
      <c r="G590" s="14">
        <v>0</v>
      </c>
      <c r="H590" s="14">
        <v>1</v>
      </c>
      <c r="I590" s="14">
        <v>1</v>
      </c>
      <c r="J590" s="14">
        <v>1</v>
      </c>
      <c r="K590" s="14">
        <v>1</v>
      </c>
      <c r="L590" s="14">
        <v>0.95</v>
      </c>
      <c r="M590" s="15">
        <v>27.542000000000002</v>
      </c>
      <c r="N590" s="16" t="str">
        <f t="shared" si="27"/>
        <v>NE</v>
      </c>
      <c r="O590" s="17">
        <v>3.1</v>
      </c>
      <c r="P590" s="16" t="s">
        <v>138</v>
      </c>
      <c r="Q590" s="18">
        <v>0</v>
      </c>
      <c r="R590" s="19">
        <v>7.0000000000000007E-2</v>
      </c>
      <c r="S590" s="19">
        <v>-1.7</v>
      </c>
      <c r="T590" s="19">
        <v>5.4</v>
      </c>
      <c r="U590" s="20">
        <v>14.94</v>
      </c>
      <c r="V590" s="16" t="s">
        <v>7</v>
      </c>
      <c r="W590" s="21">
        <v>0.46</v>
      </c>
      <c r="X590" s="21">
        <v>0.21</v>
      </c>
      <c r="Y590" s="21">
        <v>0.04</v>
      </c>
      <c r="Z590" s="21">
        <v>0.25</v>
      </c>
      <c r="AA590" s="21">
        <v>0</v>
      </c>
      <c r="AB590" s="21">
        <v>0</v>
      </c>
      <c r="AC590" s="21">
        <v>0</v>
      </c>
      <c r="AD590" s="21">
        <v>0.04</v>
      </c>
      <c r="AE590" s="21">
        <v>3.32</v>
      </c>
      <c r="AF590" s="21">
        <v>2.08</v>
      </c>
      <c r="AG590" s="21">
        <v>7</v>
      </c>
      <c r="AH590" s="18" t="s">
        <v>12</v>
      </c>
      <c r="AI590" s="13" t="str">
        <f>VLOOKUP(AH590,'Hess and Brezowsky'!$B$2:$G$31,2,FALSE)</f>
        <v>Undefined</v>
      </c>
      <c r="AJ590" s="18" t="str">
        <f>VLOOKUP(AH590,'Hess and Brezowsky'!$B$2:$G$31,3,FALSE)</f>
        <v>M</v>
      </c>
      <c r="AK590" s="13" t="str">
        <f>VLOOKUP(AH590,'Hess and Brezowsky'!$B$2:$G$31,4,FALSE)</f>
        <v>Transistion / Undefined</v>
      </c>
      <c r="AL590" s="29">
        <v>0.31763888888888892</v>
      </c>
      <c r="AM590" s="29">
        <v>0.50151620370370376</v>
      </c>
      <c r="AN590" s="30">
        <v>0.68540509259259264</v>
      </c>
    </row>
    <row r="591" spans="1:40" ht="15.75" customHeight="1" x14ac:dyDescent="0.2">
      <c r="A591" s="27">
        <v>45311</v>
      </c>
      <c r="B591" s="13">
        <v>2024</v>
      </c>
      <c r="C591" s="13">
        <v>20</v>
      </c>
      <c r="D591" s="13">
        <f t="shared" si="26"/>
        <v>7</v>
      </c>
      <c r="E591" s="13"/>
      <c r="F591" s="13">
        <f t="shared" si="25"/>
        <v>5</v>
      </c>
      <c r="G591" s="14">
        <v>0</v>
      </c>
      <c r="H591" s="14">
        <v>1</v>
      </c>
      <c r="I591" s="14">
        <v>1</v>
      </c>
      <c r="J591" s="14">
        <v>1</v>
      </c>
      <c r="K591" s="14">
        <v>1</v>
      </c>
      <c r="L591" s="14">
        <v>1</v>
      </c>
      <c r="M591" s="15">
        <v>159.90199999999999</v>
      </c>
      <c r="N591" s="16" t="str">
        <f t="shared" si="27"/>
        <v>S</v>
      </c>
      <c r="O591" s="17">
        <v>5.0999999999999996</v>
      </c>
      <c r="P591" s="16" t="s">
        <v>138</v>
      </c>
      <c r="Q591" s="18">
        <v>0</v>
      </c>
      <c r="R591" s="19">
        <v>-0.65</v>
      </c>
      <c r="S591" s="19">
        <v>-3.9</v>
      </c>
      <c r="T591" s="19">
        <v>3.1</v>
      </c>
      <c r="U591" s="20">
        <v>161.63999999999999</v>
      </c>
      <c r="V591" s="16" t="s">
        <v>13</v>
      </c>
      <c r="W591" s="21">
        <v>0</v>
      </c>
      <c r="X591" s="21">
        <v>0</v>
      </c>
      <c r="Y591" s="21">
        <v>0</v>
      </c>
      <c r="Z591" s="21">
        <v>0.57999999999999996</v>
      </c>
      <c r="AA591" s="21">
        <v>0.42</v>
      </c>
      <c r="AB591" s="21">
        <v>0</v>
      </c>
      <c r="AC591" s="21">
        <v>0</v>
      </c>
      <c r="AD591" s="21">
        <v>0</v>
      </c>
      <c r="AE591" s="21">
        <v>6.03</v>
      </c>
      <c r="AF591" s="21">
        <v>5.91</v>
      </c>
      <c r="AG591" s="21">
        <v>16.399999999999999</v>
      </c>
      <c r="AH591" s="18" t="s">
        <v>12</v>
      </c>
      <c r="AI591" s="13" t="str">
        <f>VLOOKUP(AH591,'Hess and Brezowsky'!$B$2:$G$31,2,FALSE)</f>
        <v>Undefined</v>
      </c>
      <c r="AJ591" s="18" t="str">
        <f>VLOOKUP(AH591,'Hess and Brezowsky'!$B$2:$G$31,3,FALSE)</f>
        <v>M</v>
      </c>
      <c r="AK591" s="13" t="str">
        <f>VLOOKUP(AH591,'Hess and Brezowsky'!$B$2:$G$31,4,FALSE)</f>
        <v>Transistion / Undefined</v>
      </c>
      <c r="AL591" s="29">
        <v>0.31703703703703706</v>
      </c>
      <c r="AM591" s="29">
        <v>0.50173611111111116</v>
      </c>
      <c r="AN591" s="30">
        <v>0.68644675925925924</v>
      </c>
    </row>
    <row r="592" spans="1:40" ht="15.75" customHeight="1" x14ac:dyDescent="0.2">
      <c r="A592" s="27">
        <v>45312</v>
      </c>
      <c r="B592" s="13">
        <v>2024</v>
      </c>
      <c r="C592" s="13">
        <v>21</v>
      </c>
      <c r="D592" s="13">
        <f t="shared" si="26"/>
        <v>1</v>
      </c>
      <c r="E592" s="13"/>
      <c r="F592" s="13">
        <f t="shared" si="25"/>
        <v>5</v>
      </c>
      <c r="G592" s="14">
        <v>0</v>
      </c>
      <c r="H592" s="14">
        <v>1</v>
      </c>
      <c r="I592" s="14">
        <v>1</v>
      </c>
      <c r="J592" s="14">
        <v>1</v>
      </c>
      <c r="K592" s="14">
        <v>1</v>
      </c>
      <c r="L592" s="14">
        <v>1</v>
      </c>
      <c r="M592" s="15">
        <v>208.869</v>
      </c>
      <c r="N592" s="16" t="str">
        <f t="shared" si="27"/>
        <v>SW</v>
      </c>
      <c r="O592" s="17">
        <v>12.5</v>
      </c>
      <c r="P592" s="16" t="s">
        <v>140</v>
      </c>
      <c r="Q592" s="18">
        <v>0</v>
      </c>
      <c r="R592" s="19">
        <v>4.58</v>
      </c>
      <c r="S592" s="19">
        <v>-1</v>
      </c>
      <c r="T592" s="19">
        <v>9.9</v>
      </c>
      <c r="U592" s="20">
        <v>203.86</v>
      </c>
      <c r="V592" s="16" t="s">
        <v>5</v>
      </c>
      <c r="W592" s="21">
        <v>0</v>
      </c>
      <c r="X592" s="21">
        <v>0</v>
      </c>
      <c r="Y592" s="21">
        <v>0</v>
      </c>
      <c r="Z592" s="21">
        <v>0</v>
      </c>
      <c r="AA592" s="21">
        <v>0.46</v>
      </c>
      <c r="AB592" s="21">
        <v>0.54</v>
      </c>
      <c r="AC592" s="21">
        <v>0</v>
      </c>
      <c r="AD592" s="21">
        <v>0</v>
      </c>
      <c r="AE592" s="21">
        <v>12.1</v>
      </c>
      <c r="AF592" s="21">
        <v>12.04</v>
      </c>
      <c r="AG592" s="21">
        <v>20.5</v>
      </c>
      <c r="AH592" s="18" t="s">
        <v>28</v>
      </c>
      <c r="AI592" s="13" t="str">
        <f>VLOOKUP(AH592,'Hess and Brezowsky'!$B$2:$G$31,2,FALSE)</f>
        <v>Zonal</v>
      </c>
      <c r="AJ592" s="18" t="str">
        <f>VLOOKUP(AH592,'Hess and Brezowsky'!$B$2:$G$31,3,FALSE)</f>
        <v>C</v>
      </c>
      <c r="AK592" s="13" t="str">
        <f>VLOOKUP(AH592,'Hess and Brezowsky'!$B$2:$G$31,4,FALSE)</f>
        <v>Cyclonic Westerly</v>
      </c>
      <c r="AL592" s="29">
        <v>0.31640046296296298</v>
      </c>
      <c r="AM592" s="29">
        <v>0.50194444444444442</v>
      </c>
      <c r="AN592" s="30">
        <v>0.6875</v>
      </c>
    </row>
    <row r="593" spans="1:40" ht="15.75" customHeight="1" x14ac:dyDescent="0.2">
      <c r="A593" s="27">
        <v>45313</v>
      </c>
      <c r="B593" s="13">
        <v>2024</v>
      </c>
      <c r="C593" s="13">
        <v>22</v>
      </c>
      <c r="D593" s="13">
        <f t="shared" si="26"/>
        <v>2</v>
      </c>
      <c r="E593" s="13"/>
      <c r="F593" s="13">
        <f t="shared" si="25"/>
        <v>5</v>
      </c>
      <c r="G593" s="14">
        <v>0</v>
      </c>
      <c r="H593" s="14">
        <v>1</v>
      </c>
      <c r="I593" s="14">
        <v>1</v>
      </c>
      <c r="J593" s="14">
        <v>1</v>
      </c>
      <c r="K593" s="14">
        <v>1</v>
      </c>
      <c r="L593" s="14">
        <v>1</v>
      </c>
      <c r="M593" s="15">
        <v>238.00299999999999</v>
      </c>
      <c r="N593" s="16" t="str">
        <f t="shared" si="27"/>
        <v>SW</v>
      </c>
      <c r="O593" s="17">
        <v>14.2</v>
      </c>
      <c r="P593" s="16" t="s">
        <v>137</v>
      </c>
      <c r="Q593" s="18">
        <v>2.2000000000000002</v>
      </c>
      <c r="R593" s="19">
        <v>11</v>
      </c>
      <c r="S593" s="19">
        <v>8.6999999999999993</v>
      </c>
      <c r="T593" s="19">
        <v>13.3</v>
      </c>
      <c r="U593" s="20">
        <v>237.92</v>
      </c>
      <c r="V593" s="16" t="s">
        <v>5</v>
      </c>
      <c r="W593" s="21">
        <v>0</v>
      </c>
      <c r="X593" s="21">
        <v>0</v>
      </c>
      <c r="Y593" s="21">
        <v>0</v>
      </c>
      <c r="Z593" s="21">
        <v>0</v>
      </c>
      <c r="AA593" s="21">
        <v>0.04</v>
      </c>
      <c r="AB593" s="21">
        <v>0.42</v>
      </c>
      <c r="AC593" s="21">
        <v>0.54</v>
      </c>
      <c r="AD593" s="21">
        <v>0</v>
      </c>
      <c r="AE593" s="21">
        <v>15.53</v>
      </c>
      <c r="AF593" s="21">
        <v>14.31</v>
      </c>
      <c r="AG593" s="21">
        <v>22.1</v>
      </c>
      <c r="AH593" s="18" t="s">
        <v>28</v>
      </c>
      <c r="AI593" s="13" t="str">
        <f>VLOOKUP(AH593,'Hess and Brezowsky'!$B$2:$G$31,2,FALSE)</f>
        <v>Zonal</v>
      </c>
      <c r="AJ593" s="18" t="str">
        <f>VLOOKUP(AH593,'Hess and Brezowsky'!$B$2:$G$31,3,FALSE)</f>
        <v>C</v>
      </c>
      <c r="AK593" s="13" t="str">
        <f>VLOOKUP(AH593,'Hess and Brezowsky'!$B$2:$G$31,4,FALSE)</f>
        <v>Cyclonic Westerly</v>
      </c>
      <c r="AL593" s="29">
        <v>0.31574074074074077</v>
      </c>
      <c r="AM593" s="29">
        <v>0.50215277777777778</v>
      </c>
      <c r="AN593" s="30">
        <v>0.68855324074074076</v>
      </c>
    </row>
    <row r="594" spans="1:40" ht="15.75" customHeight="1" x14ac:dyDescent="0.2">
      <c r="A594" s="27">
        <v>45314</v>
      </c>
      <c r="B594" s="13">
        <v>2024</v>
      </c>
      <c r="C594" s="13">
        <v>23</v>
      </c>
      <c r="D594" s="13">
        <f t="shared" si="26"/>
        <v>3</v>
      </c>
      <c r="E594" s="13"/>
      <c r="F594" s="13">
        <f t="shared" si="25"/>
        <v>5</v>
      </c>
      <c r="G594" s="14">
        <v>0</v>
      </c>
      <c r="H594" s="14">
        <v>1</v>
      </c>
      <c r="I594" s="14">
        <v>1</v>
      </c>
      <c r="J594" s="14">
        <v>1</v>
      </c>
      <c r="K594" s="14">
        <v>1</v>
      </c>
      <c r="L594" s="14">
        <v>1</v>
      </c>
      <c r="M594" s="15">
        <v>232.71799999999999</v>
      </c>
      <c r="N594" s="16" t="str">
        <f t="shared" si="27"/>
        <v>SW</v>
      </c>
      <c r="O594" s="17">
        <v>11.4</v>
      </c>
      <c r="P594" s="16" t="s">
        <v>140</v>
      </c>
      <c r="Q594" s="18">
        <v>0.4</v>
      </c>
      <c r="R594" s="19">
        <v>10.01</v>
      </c>
      <c r="S594" s="19">
        <v>7.6</v>
      </c>
      <c r="T594" s="19">
        <v>13.9</v>
      </c>
      <c r="U594" s="20">
        <v>234.85</v>
      </c>
      <c r="V594" s="16" t="s">
        <v>5</v>
      </c>
      <c r="W594" s="21">
        <v>0</v>
      </c>
      <c r="X594" s="21">
        <v>0</v>
      </c>
      <c r="Y594" s="21">
        <v>0</v>
      </c>
      <c r="Z594" s="21">
        <v>0</v>
      </c>
      <c r="AA594" s="21">
        <v>0.08</v>
      </c>
      <c r="AB594" s="21">
        <v>0.57999999999999996</v>
      </c>
      <c r="AC594" s="21">
        <v>0.33</v>
      </c>
      <c r="AD594" s="21">
        <v>0</v>
      </c>
      <c r="AE594" s="21">
        <v>11.93</v>
      </c>
      <c r="AF594" s="21">
        <v>11.23</v>
      </c>
      <c r="AG594" s="21">
        <v>18.8</v>
      </c>
      <c r="AH594" s="18" t="s">
        <v>28</v>
      </c>
      <c r="AI594" s="13" t="str">
        <f>VLOOKUP(AH594,'Hess and Brezowsky'!$B$2:$G$31,2,FALSE)</f>
        <v>Zonal</v>
      </c>
      <c r="AJ594" s="18" t="str">
        <f>VLOOKUP(AH594,'Hess and Brezowsky'!$B$2:$G$31,3,FALSE)</f>
        <v>C</v>
      </c>
      <c r="AK594" s="13" t="str">
        <f>VLOOKUP(AH594,'Hess and Brezowsky'!$B$2:$G$31,4,FALSE)</f>
        <v>Cyclonic Westerly</v>
      </c>
      <c r="AL594" s="29">
        <v>0.31504629629629627</v>
      </c>
      <c r="AM594" s="29">
        <v>0.50233796296296296</v>
      </c>
      <c r="AN594" s="30">
        <v>0.68962962962962959</v>
      </c>
    </row>
    <row r="595" spans="1:40" ht="15.75" customHeight="1" x14ac:dyDescent="0.2">
      <c r="A595" s="27">
        <v>45315</v>
      </c>
      <c r="B595" s="13">
        <v>2024</v>
      </c>
      <c r="C595" s="13">
        <v>24</v>
      </c>
      <c r="D595" s="13">
        <f t="shared" si="26"/>
        <v>4</v>
      </c>
      <c r="E595" s="13"/>
      <c r="F595" s="13">
        <f t="shared" si="25"/>
        <v>5</v>
      </c>
      <c r="G595" s="14">
        <v>0</v>
      </c>
      <c r="H595" s="14">
        <v>1</v>
      </c>
      <c r="I595" s="14">
        <v>1</v>
      </c>
      <c r="J595" s="14">
        <v>1</v>
      </c>
      <c r="K595" s="14">
        <v>1</v>
      </c>
      <c r="L595" s="14">
        <v>1</v>
      </c>
      <c r="M595" s="15">
        <v>257.59800000000001</v>
      </c>
      <c r="N595" s="16" t="str">
        <f t="shared" si="27"/>
        <v>W</v>
      </c>
      <c r="O595" s="17">
        <v>9.5</v>
      </c>
      <c r="P595" s="16" t="s">
        <v>137</v>
      </c>
      <c r="Q595" s="18">
        <v>0.8</v>
      </c>
      <c r="R595" s="19">
        <v>13.38</v>
      </c>
      <c r="S595" s="19">
        <v>11.4</v>
      </c>
      <c r="T595" s="19">
        <v>14.5</v>
      </c>
      <c r="U595" s="20">
        <v>257.18</v>
      </c>
      <c r="V595" s="16" t="s">
        <v>16</v>
      </c>
      <c r="W595" s="21">
        <v>0</v>
      </c>
      <c r="X595" s="21">
        <v>0</v>
      </c>
      <c r="Y595" s="21">
        <v>0</v>
      </c>
      <c r="Z595" s="21">
        <v>0</v>
      </c>
      <c r="AA595" s="21">
        <v>0</v>
      </c>
      <c r="AB595" s="21">
        <v>0.25</v>
      </c>
      <c r="AC595" s="21">
        <v>0.75</v>
      </c>
      <c r="AD595" s="21">
        <v>0</v>
      </c>
      <c r="AE595" s="21">
        <v>11.72</v>
      </c>
      <c r="AF595" s="21">
        <v>11.38</v>
      </c>
      <c r="AG595" s="21">
        <v>18.5</v>
      </c>
      <c r="AH595" s="18" t="s">
        <v>28</v>
      </c>
      <c r="AI595" s="13" t="str">
        <f>VLOOKUP(AH595,'Hess and Brezowsky'!$B$2:$G$31,2,FALSE)</f>
        <v>Zonal</v>
      </c>
      <c r="AJ595" s="18" t="str">
        <f>VLOOKUP(AH595,'Hess and Brezowsky'!$B$2:$G$31,3,FALSE)</f>
        <v>C</v>
      </c>
      <c r="AK595" s="13" t="str">
        <f>VLOOKUP(AH595,'Hess and Brezowsky'!$B$2:$G$31,4,FALSE)</f>
        <v>Cyclonic Westerly</v>
      </c>
      <c r="AL595" s="29">
        <v>0.31434027777777779</v>
      </c>
      <c r="AM595" s="29">
        <v>0.50252314814814814</v>
      </c>
      <c r="AN595" s="30">
        <v>0.69071759259259258</v>
      </c>
    </row>
    <row r="596" spans="1:40" ht="15.75" customHeight="1" x14ac:dyDescent="0.2">
      <c r="A596" s="27">
        <v>45316</v>
      </c>
      <c r="B596" s="13">
        <v>2024</v>
      </c>
      <c r="C596" s="13">
        <v>25</v>
      </c>
      <c r="D596" s="13">
        <f t="shared" si="26"/>
        <v>5</v>
      </c>
      <c r="E596" s="13"/>
      <c r="F596" s="13">
        <f t="shared" si="25"/>
        <v>5</v>
      </c>
      <c r="G596" s="14">
        <v>0</v>
      </c>
      <c r="H596" s="14">
        <v>1</v>
      </c>
      <c r="I596" s="14">
        <v>1</v>
      </c>
      <c r="J596" s="14">
        <v>1</v>
      </c>
      <c r="K596" s="14">
        <v>1</v>
      </c>
      <c r="L596" s="14">
        <v>1</v>
      </c>
      <c r="M596" s="15">
        <v>234.55</v>
      </c>
      <c r="N596" s="16" t="str">
        <f t="shared" si="27"/>
        <v>SW</v>
      </c>
      <c r="O596" s="17">
        <v>5.7</v>
      </c>
      <c r="P596" s="16" t="s">
        <v>137</v>
      </c>
      <c r="Q596" s="18">
        <v>0.6</v>
      </c>
      <c r="R596" s="19">
        <v>11.43</v>
      </c>
      <c r="S596" s="19">
        <v>10.199999999999999</v>
      </c>
      <c r="T596" s="19">
        <v>13.5</v>
      </c>
      <c r="U596" s="20">
        <v>236.15</v>
      </c>
      <c r="V596" s="16" t="s">
        <v>5</v>
      </c>
      <c r="W596" s="21">
        <v>0.08</v>
      </c>
      <c r="X596" s="21">
        <v>0</v>
      </c>
      <c r="Y596" s="21">
        <v>0</v>
      </c>
      <c r="Z596" s="21">
        <v>0.04</v>
      </c>
      <c r="AA596" s="21">
        <v>0.04</v>
      </c>
      <c r="AB596" s="21">
        <v>0.71</v>
      </c>
      <c r="AC596" s="21">
        <v>0.04</v>
      </c>
      <c r="AD596" s="21">
        <v>0.08</v>
      </c>
      <c r="AE596" s="21">
        <v>6.12</v>
      </c>
      <c r="AF596" s="21">
        <v>5.51</v>
      </c>
      <c r="AG596" s="21">
        <v>12.4</v>
      </c>
      <c r="AH596" s="18" t="s">
        <v>44</v>
      </c>
      <c r="AI596" s="13" t="str">
        <f>VLOOKUP(AH596,'Hess and Brezowsky'!$B$2:$G$31,2,FALSE)</f>
        <v>Mixed</v>
      </c>
      <c r="AJ596" s="18" t="str">
        <f>VLOOKUP(AH596,'Hess and Brezowsky'!$B$2:$G$31,3,FALSE)</f>
        <v>A</v>
      </c>
      <c r="AK596" s="13" t="str">
        <f>VLOOKUP(AH596,'Hess and Brezowsky'!$B$2:$G$31,4,FALSE)</f>
        <v>Anticyclonic North-Westerly</v>
      </c>
      <c r="AL596" s="29">
        <v>0.31359953703703702</v>
      </c>
      <c r="AM596" s="29">
        <v>0.50270833333333331</v>
      </c>
      <c r="AN596" s="30">
        <v>0.6918171296296296</v>
      </c>
    </row>
    <row r="597" spans="1:40" ht="15.75" customHeight="1" x14ac:dyDescent="0.2">
      <c r="A597" s="27">
        <v>45317</v>
      </c>
      <c r="B597" s="13">
        <v>2024</v>
      </c>
      <c r="C597" s="13">
        <v>26</v>
      </c>
      <c r="D597" s="13">
        <f t="shared" si="26"/>
        <v>6</v>
      </c>
      <c r="E597" s="13"/>
      <c r="F597" s="13">
        <f t="shared" si="25"/>
        <v>5</v>
      </c>
      <c r="G597" s="14">
        <v>0</v>
      </c>
      <c r="H597" s="14">
        <v>1</v>
      </c>
      <c r="I597" s="14">
        <v>1</v>
      </c>
      <c r="J597" s="14">
        <v>1</v>
      </c>
      <c r="K597" s="14">
        <v>1</v>
      </c>
      <c r="L597" s="14">
        <v>1</v>
      </c>
      <c r="M597" s="15">
        <v>272.89400000000001</v>
      </c>
      <c r="N597" s="16" t="str">
        <f t="shared" si="27"/>
        <v>W</v>
      </c>
      <c r="O597" s="17">
        <v>8.1</v>
      </c>
      <c r="P597" s="16" t="s">
        <v>137</v>
      </c>
      <c r="Q597" s="18">
        <v>1</v>
      </c>
      <c r="R597" s="19">
        <v>10.16</v>
      </c>
      <c r="S597" s="19">
        <v>5.2</v>
      </c>
      <c r="T597" s="19">
        <v>12.3</v>
      </c>
      <c r="U597" s="20">
        <v>272.70999999999998</v>
      </c>
      <c r="V597" s="16" t="s">
        <v>16</v>
      </c>
      <c r="W597" s="21">
        <v>0.12</v>
      </c>
      <c r="X597" s="21">
        <v>0</v>
      </c>
      <c r="Y597" s="21">
        <v>0</v>
      </c>
      <c r="Z597" s="21">
        <v>0</v>
      </c>
      <c r="AA597" s="21">
        <v>0</v>
      </c>
      <c r="AB597" s="21">
        <v>0.38</v>
      </c>
      <c r="AC597" s="21">
        <v>0.04</v>
      </c>
      <c r="AD597" s="21">
        <v>0.46</v>
      </c>
      <c r="AE597" s="21">
        <v>8.8000000000000007</v>
      </c>
      <c r="AF597" s="21">
        <v>6.38</v>
      </c>
      <c r="AG597" s="21">
        <v>18.100000000000001</v>
      </c>
      <c r="AH597" s="18" t="s">
        <v>44</v>
      </c>
      <c r="AI597" s="13" t="str">
        <f>VLOOKUP(AH597,'Hess and Brezowsky'!$B$2:$G$31,2,FALSE)</f>
        <v>Mixed</v>
      </c>
      <c r="AJ597" s="18" t="str">
        <f>VLOOKUP(AH597,'Hess and Brezowsky'!$B$2:$G$31,3,FALSE)</f>
        <v>A</v>
      </c>
      <c r="AK597" s="13" t="str">
        <f>VLOOKUP(AH597,'Hess and Brezowsky'!$B$2:$G$31,4,FALSE)</f>
        <v>Anticyclonic North-Westerly</v>
      </c>
      <c r="AL597" s="29">
        <v>0.31282407407407409</v>
      </c>
      <c r="AM597" s="29">
        <v>0.50287037037037041</v>
      </c>
      <c r="AN597" s="30">
        <v>0.69291666666666663</v>
      </c>
    </row>
    <row r="598" spans="1:40" ht="15.75" customHeight="1" x14ac:dyDescent="0.2">
      <c r="A598" s="27">
        <v>45318</v>
      </c>
      <c r="B598" s="13">
        <v>2024</v>
      </c>
      <c r="C598" s="13">
        <v>27</v>
      </c>
      <c r="D598" s="13">
        <f t="shared" si="26"/>
        <v>7</v>
      </c>
      <c r="E598" s="13"/>
      <c r="F598" s="13">
        <f t="shared" si="25"/>
        <v>5</v>
      </c>
      <c r="G598" s="14">
        <v>0</v>
      </c>
      <c r="H598" s="14">
        <v>1</v>
      </c>
      <c r="I598" s="14">
        <v>1</v>
      </c>
      <c r="J598" s="14">
        <v>1</v>
      </c>
      <c r="K598" s="14">
        <v>1</v>
      </c>
      <c r="L598" s="14">
        <v>1</v>
      </c>
      <c r="M598" s="15">
        <v>125.824</v>
      </c>
      <c r="N598" s="16" t="str">
        <f t="shared" si="27"/>
        <v>SE</v>
      </c>
      <c r="O598" s="17">
        <v>5.8</v>
      </c>
      <c r="P598" s="16" t="s">
        <v>138</v>
      </c>
      <c r="Q598" s="18">
        <v>0</v>
      </c>
      <c r="R598" s="19">
        <v>4.68</v>
      </c>
      <c r="S598" s="19">
        <v>1.4</v>
      </c>
      <c r="T598" s="19">
        <v>8.6</v>
      </c>
      <c r="U598" s="20">
        <v>131.24</v>
      </c>
      <c r="V598" s="16" t="s">
        <v>11</v>
      </c>
      <c r="W598" s="21">
        <v>0</v>
      </c>
      <c r="X598" s="21">
        <v>0.08</v>
      </c>
      <c r="Y598" s="21">
        <v>0.21</v>
      </c>
      <c r="Z598" s="21">
        <v>0.71</v>
      </c>
      <c r="AA598" s="21">
        <v>0</v>
      </c>
      <c r="AB598" s="21">
        <v>0</v>
      </c>
      <c r="AC598" s="21">
        <v>0</v>
      </c>
      <c r="AD598" s="21">
        <v>0</v>
      </c>
      <c r="AE598" s="21">
        <v>6.31</v>
      </c>
      <c r="AF598" s="21">
        <v>5.84</v>
      </c>
      <c r="AG598" s="21">
        <v>13.3</v>
      </c>
      <c r="AH598" s="18" t="s">
        <v>44</v>
      </c>
      <c r="AI598" s="13" t="str">
        <f>VLOOKUP(AH598,'Hess and Brezowsky'!$B$2:$G$31,2,FALSE)</f>
        <v>Mixed</v>
      </c>
      <c r="AJ598" s="18" t="str">
        <f>VLOOKUP(AH598,'Hess and Brezowsky'!$B$2:$G$31,3,FALSE)</f>
        <v>A</v>
      </c>
      <c r="AK598" s="13" t="str">
        <f>VLOOKUP(AH598,'Hess and Brezowsky'!$B$2:$G$31,4,FALSE)</f>
        <v>Anticyclonic North-Westerly</v>
      </c>
      <c r="AL598" s="29">
        <v>0.31203703703703706</v>
      </c>
      <c r="AM598" s="29">
        <v>0.5030324074074074</v>
      </c>
      <c r="AN598" s="30">
        <v>0.6940277777777778</v>
      </c>
    </row>
    <row r="599" spans="1:40" ht="15.75" customHeight="1" x14ac:dyDescent="0.2">
      <c r="A599" s="27">
        <v>45319</v>
      </c>
      <c r="B599" s="13">
        <v>2024</v>
      </c>
      <c r="C599" s="13">
        <v>28</v>
      </c>
      <c r="D599" s="13">
        <f t="shared" si="26"/>
        <v>1</v>
      </c>
      <c r="E599" s="13"/>
      <c r="F599" s="13">
        <f t="shared" si="25"/>
        <v>5</v>
      </c>
      <c r="G599" s="14">
        <v>0</v>
      </c>
      <c r="H599" s="14">
        <v>1</v>
      </c>
      <c r="I599" s="14">
        <v>1</v>
      </c>
      <c r="J599" s="14">
        <v>1</v>
      </c>
      <c r="K599" s="14">
        <v>1</v>
      </c>
      <c r="L599" s="14">
        <v>1</v>
      </c>
      <c r="M599" s="15">
        <v>172.958</v>
      </c>
      <c r="N599" s="16" t="str">
        <f t="shared" si="27"/>
        <v>S</v>
      </c>
      <c r="O599" s="17">
        <v>8.6</v>
      </c>
      <c r="P599" s="16" t="s">
        <v>138</v>
      </c>
      <c r="Q599" s="18">
        <v>0</v>
      </c>
      <c r="R599" s="19">
        <v>5.09</v>
      </c>
      <c r="S599" s="19">
        <v>1.5</v>
      </c>
      <c r="T599" s="19">
        <v>9.1</v>
      </c>
      <c r="U599" s="20">
        <v>180.06</v>
      </c>
      <c r="V599" s="16" t="s">
        <v>13</v>
      </c>
      <c r="W599" s="21">
        <v>0</v>
      </c>
      <c r="X599" s="21">
        <v>0</v>
      </c>
      <c r="Y599" s="21">
        <v>0</v>
      </c>
      <c r="Z599" s="21">
        <v>0.04</v>
      </c>
      <c r="AA599" s="21">
        <v>0.83</v>
      </c>
      <c r="AB599" s="21">
        <v>0.12</v>
      </c>
      <c r="AC599" s="21">
        <v>0</v>
      </c>
      <c r="AD599" s="21">
        <v>0</v>
      </c>
      <c r="AE599" s="21">
        <v>8.9499999999999993</v>
      </c>
      <c r="AF599" s="21">
        <v>8.31</v>
      </c>
      <c r="AG599" s="21">
        <v>13.6</v>
      </c>
      <c r="AH599" s="18" t="s">
        <v>32</v>
      </c>
      <c r="AI599" s="13" t="str">
        <f>VLOOKUP(AH599,'Hess and Brezowsky'!$B$2:$G$31,2,FALSE)</f>
        <v>Mixed</v>
      </c>
      <c r="AJ599" s="18" t="str">
        <f>VLOOKUP(AH599,'Hess and Brezowsky'!$B$2:$G$31,3,FALSE)</f>
        <v>A</v>
      </c>
      <c r="AK599" s="13" t="str">
        <f>VLOOKUP(AH599,'Hess and Brezowsky'!$B$2:$G$31,4,FALSE)</f>
        <v>Anticyclonic South-Westerly</v>
      </c>
      <c r="AL599" s="29">
        <v>0.3112152777777778</v>
      </c>
      <c r="AM599" s="29">
        <v>0.50318287037037035</v>
      </c>
      <c r="AN599" s="30">
        <v>0.69515046296296301</v>
      </c>
    </row>
    <row r="600" spans="1:40" ht="15.75" customHeight="1" x14ac:dyDescent="0.2">
      <c r="A600" s="27">
        <v>45320</v>
      </c>
      <c r="B600" s="13">
        <v>2024</v>
      </c>
      <c r="C600" s="13">
        <v>29</v>
      </c>
      <c r="D600" s="13">
        <f t="shared" si="26"/>
        <v>2</v>
      </c>
      <c r="E600" s="13"/>
      <c r="F600" s="13">
        <f t="shared" si="25"/>
        <v>5</v>
      </c>
      <c r="G600" s="14">
        <v>0</v>
      </c>
      <c r="H600" s="14">
        <v>1</v>
      </c>
      <c r="I600" s="14">
        <v>0.54</v>
      </c>
      <c r="J600" s="14">
        <v>1</v>
      </c>
      <c r="K600" s="14">
        <v>1</v>
      </c>
      <c r="L600" s="14">
        <v>1</v>
      </c>
      <c r="M600" s="15">
        <v>213.57900000000001</v>
      </c>
      <c r="N600" s="16" t="str">
        <f t="shared" si="27"/>
        <v>SW</v>
      </c>
      <c r="O600" s="17">
        <v>9.8000000000000007</v>
      </c>
      <c r="P600" s="16" t="s">
        <v>137</v>
      </c>
      <c r="Q600" s="18">
        <v>0</v>
      </c>
      <c r="R600" s="19">
        <v>8.89</v>
      </c>
      <c r="S600" s="19">
        <v>4.0999999999999996</v>
      </c>
      <c r="T600" s="19">
        <v>14.4</v>
      </c>
      <c r="U600" s="20">
        <v>213.49</v>
      </c>
      <c r="V600" s="16" t="s">
        <v>5</v>
      </c>
      <c r="W600" s="21">
        <v>0</v>
      </c>
      <c r="X600" s="21">
        <v>0</v>
      </c>
      <c r="Y600" s="21">
        <v>0</v>
      </c>
      <c r="Z600" s="21">
        <v>0</v>
      </c>
      <c r="AA600" s="21">
        <v>0.38</v>
      </c>
      <c r="AB600" s="21">
        <v>0.62</v>
      </c>
      <c r="AC600" s="21">
        <v>0</v>
      </c>
      <c r="AD600" s="21">
        <v>0</v>
      </c>
      <c r="AE600" s="21">
        <v>8.6300000000000008</v>
      </c>
      <c r="AF600" s="21">
        <v>8.1300000000000008</v>
      </c>
      <c r="AG600" s="21">
        <v>14.4</v>
      </c>
      <c r="AH600" s="18" t="s">
        <v>32</v>
      </c>
      <c r="AI600" s="13" t="str">
        <f>VLOOKUP(AH600,'Hess and Brezowsky'!$B$2:$G$31,2,FALSE)</f>
        <v>Mixed</v>
      </c>
      <c r="AJ600" s="18" t="str">
        <f>VLOOKUP(AH600,'Hess and Brezowsky'!$B$2:$G$31,3,FALSE)</f>
        <v>A</v>
      </c>
      <c r="AK600" s="13" t="str">
        <f>VLOOKUP(AH600,'Hess and Brezowsky'!$B$2:$G$31,4,FALSE)</f>
        <v>Anticyclonic South-Westerly</v>
      </c>
      <c r="AL600" s="29">
        <v>0.31037037037037035</v>
      </c>
      <c r="AM600" s="29">
        <v>0.50332175925925926</v>
      </c>
      <c r="AN600" s="30">
        <v>0.69627314814814811</v>
      </c>
    </row>
    <row r="601" spans="1:40" ht="15.75" customHeight="1" x14ac:dyDescent="0.2">
      <c r="A601" s="27">
        <v>45321</v>
      </c>
      <c r="B601" s="13">
        <v>2024</v>
      </c>
      <c r="C601" s="13">
        <v>30</v>
      </c>
      <c r="D601" s="13">
        <f t="shared" si="26"/>
        <v>3</v>
      </c>
      <c r="E601" s="13"/>
      <c r="F601" s="13">
        <f t="shared" si="25"/>
        <v>4</v>
      </c>
      <c r="G601" s="14">
        <v>0</v>
      </c>
      <c r="H601" s="14">
        <v>1</v>
      </c>
      <c r="I601" s="14">
        <v>0.45</v>
      </c>
      <c r="J601" s="14">
        <v>1</v>
      </c>
      <c r="K601" s="14">
        <v>1</v>
      </c>
      <c r="L601" s="14">
        <v>1</v>
      </c>
      <c r="M601" s="15">
        <v>259.22699999999998</v>
      </c>
      <c r="N601" s="16" t="str">
        <f t="shared" si="27"/>
        <v>W</v>
      </c>
      <c r="O601" s="17">
        <v>6.4</v>
      </c>
      <c r="P601" s="16" t="s">
        <v>137</v>
      </c>
      <c r="Q601" s="18">
        <v>0</v>
      </c>
      <c r="R601" s="19">
        <v>10.09</v>
      </c>
      <c r="S601" s="19">
        <v>8.1999999999999993</v>
      </c>
      <c r="T601" s="19">
        <v>11.6</v>
      </c>
      <c r="U601" s="20">
        <v>262.69</v>
      </c>
      <c r="V601" s="16" t="s">
        <v>16</v>
      </c>
      <c r="W601" s="21">
        <v>0.25</v>
      </c>
      <c r="X601" s="21">
        <v>0</v>
      </c>
      <c r="Y601" s="21">
        <v>0</v>
      </c>
      <c r="Z601" s="21">
        <v>0</v>
      </c>
      <c r="AA601" s="21">
        <v>0</v>
      </c>
      <c r="AB601" s="21">
        <v>0.38</v>
      </c>
      <c r="AC601" s="21">
        <v>0.28999999999999998</v>
      </c>
      <c r="AD601" s="21">
        <v>0.08</v>
      </c>
      <c r="AE601" s="21">
        <v>6.16</v>
      </c>
      <c r="AF601" s="21">
        <v>4.7699999999999996</v>
      </c>
      <c r="AG601" s="21">
        <v>10.6</v>
      </c>
      <c r="AH601" s="18" t="s">
        <v>32</v>
      </c>
      <c r="AI601" s="13" t="str">
        <f>VLOOKUP(AH601,'Hess and Brezowsky'!$B$2:$G$31,2,FALSE)</f>
        <v>Mixed</v>
      </c>
      <c r="AJ601" s="18" t="str">
        <f>VLOOKUP(AH601,'Hess and Brezowsky'!$B$2:$G$31,3,FALSE)</f>
        <v>A</v>
      </c>
      <c r="AK601" s="13" t="str">
        <f>VLOOKUP(AH601,'Hess and Brezowsky'!$B$2:$G$31,4,FALSE)</f>
        <v>Anticyclonic South-Westerly</v>
      </c>
      <c r="AL601" s="29">
        <v>0.30950231481481483</v>
      </c>
      <c r="AM601" s="29">
        <v>0.50344907407407402</v>
      </c>
      <c r="AN601" s="30">
        <v>0.69740740740740736</v>
      </c>
    </row>
    <row r="602" spans="1:40" ht="15.75" customHeight="1" x14ac:dyDescent="0.2">
      <c r="A602" s="27">
        <v>45322</v>
      </c>
      <c r="B602" s="13">
        <v>2024</v>
      </c>
      <c r="C602" s="13">
        <v>31</v>
      </c>
      <c r="D602" s="13">
        <f t="shared" si="26"/>
        <v>4</v>
      </c>
      <c r="E602" s="13"/>
      <c r="F602" s="13">
        <f t="shared" si="25"/>
        <v>5</v>
      </c>
      <c r="G602" s="14">
        <v>0</v>
      </c>
      <c r="H602" s="14">
        <v>1</v>
      </c>
      <c r="I602" s="14">
        <v>0.95</v>
      </c>
      <c r="J602" s="14">
        <v>1</v>
      </c>
      <c r="K602" s="14">
        <v>1</v>
      </c>
      <c r="L602" s="14">
        <v>1</v>
      </c>
      <c r="M602" s="15">
        <v>230.346</v>
      </c>
      <c r="N602" s="16" t="str">
        <f t="shared" si="27"/>
        <v>SW</v>
      </c>
      <c r="O602" s="17">
        <v>5.9</v>
      </c>
      <c r="P602" s="16" t="s">
        <v>137</v>
      </c>
      <c r="Q602" s="18">
        <v>0</v>
      </c>
      <c r="R602" s="19">
        <v>8.26</v>
      </c>
      <c r="S602" s="19">
        <v>5.6</v>
      </c>
      <c r="T602" s="19">
        <v>10.4</v>
      </c>
      <c r="U602" s="20">
        <v>230.07</v>
      </c>
      <c r="V602" s="16" t="s">
        <v>5</v>
      </c>
      <c r="W602" s="21">
        <v>0.04</v>
      </c>
      <c r="X602" s="21">
        <v>0.17</v>
      </c>
      <c r="Y602" s="21">
        <v>0.04</v>
      </c>
      <c r="Z602" s="21">
        <v>0.17</v>
      </c>
      <c r="AA602" s="21">
        <v>0.04</v>
      </c>
      <c r="AB602" s="21">
        <v>0.25</v>
      </c>
      <c r="AC602" s="21">
        <v>0.28999999999999998</v>
      </c>
      <c r="AD602" s="21">
        <v>0</v>
      </c>
      <c r="AE602" s="21">
        <v>6.33</v>
      </c>
      <c r="AF602" s="21">
        <v>3.54</v>
      </c>
      <c r="AG602" s="21">
        <v>14.7</v>
      </c>
      <c r="AH602" s="18" t="s">
        <v>32</v>
      </c>
      <c r="AI602" s="13" t="str">
        <f>VLOOKUP(AH602,'Hess and Brezowsky'!$B$2:$G$31,2,FALSE)</f>
        <v>Mixed</v>
      </c>
      <c r="AJ602" s="18" t="str">
        <f>VLOOKUP(AH602,'Hess and Brezowsky'!$B$2:$G$31,3,FALSE)</f>
        <v>A</v>
      </c>
      <c r="AK602" s="13" t="str">
        <f>VLOOKUP(AH602,'Hess and Brezowsky'!$B$2:$G$31,4,FALSE)</f>
        <v>Anticyclonic South-Westerly</v>
      </c>
      <c r="AL602" s="29">
        <v>0.30861111111111111</v>
      </c>
      <c r="AM602" s="29">
        <v>0.50357638888888889</v>
      </c>
      <c r="AN602" s="30">
        <v>0.69854166666666662</v>
      </c>
    </row>
    <row r="603" spans="1:40" ht="15.75" customHeight="1" x14ac:dyDescent="0.2">
      <c r="A603" s="27">
        <v>45323</v>
      </c>
      <c r="B603" s="13">
        <v>2024</v>
      </c>
      <c r="C603" s="13">
        <v>32</v>
      </c>
      <c r="D603" s="13">
        <f t="shared" si="26"/>
        <v>5</v>
      </c>
      <c r="E603" s="13"/>
      <c r="F603" s="13">
        <f t="shared" si="25"/>
        <v>5</v>
      </c>
      <c r="G603" s="14">
        <v>0</v>
      </c>
      <c r="H603" s="14">
        <v>1</v>
      </c>
      <c r="I603" s="14">
        <v>1</v>
      </c>
      <c r="J603" s="14">
        <v>1</v>
      </c>
      <c r="K603" s="14">
        <v>1</v>
      </c>
      <c r="L603" s="14">
        <v>1</v>
      </c>
      <c r="M603" s="15">
        <v>285.98700000000002</v>
      </c>
      <c r="N603" s="16" t="str">
        <f t="shared" si="27"/>
        <v>W</v>
      </c>
      <c r="O603" s="17">
        <v>5.7</v>
      </c>
      <c r="P603" s="16" t="s">
        <v>140</v>
      </c>
      <c r="Q603" s="18">
        <v>1.4</v>
      </c>
      <c r="R603" s="19">
        <v>10.15</v>
      </c>
      <c r="S603" s="19">
        <v>7.4</v>
      </c>
      <c r="T603" s="19">
        <v>12.1</v>
      </c>
      <c r="U603" s="20">
        <v>280.77999999999997</v>
      </c>
      <c r="V603" s="16" t="s">
        <v>16</v>
      </c>
      <c r="W603" s="21">
        <v>0.12</v>
      </c>
      <c r="X603" s="21">
        <v>0</v>
      </c>
      <c r="Y603" s="21">
        <v>0</v>
      </c>
      <c r="Z603" s="21">
        <v>0</v>
      </c>
      <c r="AA603" s="21">
        <v>0</v>
      </c>
      <c r="AB603" s="21">
        <v>0</v>
      </c>
      <c r="AC603" s="21">
        <v>0.42</v>
      </c>
      <c r="AD603" s="21">
        <v>0.46</v>
      </c>
      <c r="AE603" s="21">
        <v>7.01</v>
      </c>
      <c r="AF603" s="21">
        <v>6.21</v>
      </c>
      <c r="AG603" s="21">
        <v>13.9</v>
      </c>
      <c r="AH603" s="18" t="s">
        <v>44</v>
      </c>
      <c r="AI603" s="13" t="str">
        <f>VLOOKUP(AH603,'Hess and Brezowsky'!$B$2:$G$31,2,FALSE)</f>
        <v>Mixed</v>
      </c>
      <c r="AJ603" s="18" t="str">
        <f>VLOOKUP(AH603,'Hess and Brezowsky'!$B$2:$G$31,3,FALSE)</f>
        <v>A</v>
      </c>
      <c r="AK603" s="13" t="str">
        <f>VLOOKUP(AH603,'Hess and Brezowsky'!$B$2:$G$31,4,FALSE)</f>
        <v>Anticyclonic North-Westerly</v>
      </c>
      <c r="AL603" s="29">
        <v>0.30769675925925927</v>
      </c>
      <c r="AM603" s="29">
        <v>0.50369212962962961</v>
      </c>
      <c r="AN603" s="30">
        <v>0.69967592592592598</v>
      </c>
    </row>
    <row r="604" spans="1:40" ht="15.75" customHeight="1" x14ac:dyDescent="0.2">
      <c r="A604" s="27">
        <v>45324</v>
      </c>
      <c r="B604" s="13">
        <v>2024</v>
      </c>
      <c r="C604" s="13">
        <v>33</v>
      </c>
      <c r="D604" s="13">
        <f t="shared" si="26"/>
        <v>6</v>
      </c>
      <c r="E604" s="13"/>
      <c r="F604" s="13">
        <f t="shared" si="25"/>
        <v>5</v>
      </c>
      <c r="G604" s="14">
        <v>0</v>
      </c>
      <c r="H604" s="14">
        <v>1</v>
      </c>
      <c r="I604" s="14">
        <v>1</v>
      </c>
      <c r="J604" s="14">
        <v>1</v>
      </c>
      <c r="K604" s="14">
        <v>1</v>
      </c>
      <c r="L604" s="14">
        <v>1</v>
      </c>
      <c r="M604" s="15">
        <v>257.55099999999999</v>
      </c>
      <c r="N604" s="16" t="str">
        <f t="shared" si="27"/>
        <v>W</v>
      </c>
      <c r="O604" s="17">
        <v>5.4</v>
      </c>
      <c r="P604" s="16" t="s">
        <v>137</v>
      </c>
      <c r="Q604" s="18">
        <v>0</v>
      </c>
      <c r="R604" s="19">
        <v>6.93</v>
      </c>
      <c r="S604" s="19">
        <v>3.9</v>
      </c>
      <c r="T604" s="19">
        <v>10.4</v>
      </c>
      <c r="U604" s="20">
        <v>260.82</v>
      </c>
      <c r="V604" s="16" t="s">
        <v>16</v>
      </c>
      <c r="W604" s="21">
        <v>0</v>
      </c>
      <c r="X604" s="21">
        <v>0</v>
      </c>
      <c r="Y604" s="21">
        <v>0</v>
      </c>
      <c r="Z604" s="21">
        <v>0</v>
      </c>
      <c r="AA604" s="21">
        <v>0</v>
      </c>
      <c r="AB604" s="21">
        <v>0.08</v>
      </c>
      <c r="AC604" s="21">
        <v>0.92</v>
      </c>
      <c r="AD604" s="21">
        <v>0</v>
      </c>
      <c r="AE604" s="21">
        <v>6.17</v>
      </c>
      <c r="AF604" s="21">
        <v>6.06</v>
      </c>
      <c r="AG604" s="21">
        <v>12.1</v>
      </c>
      <c r="AH604" s="18" t="s">
        <v>44</v>
      </c>
      <c r="AI604" s="13" t="str">
        <f>VLOOKUP(AH604,'Hess and Brezowsky'!$B$2:$G$31,2,FALSE)</f>
        <v>Mixed</v>
      </c>
      <c r="AJ604" s="18" t="str">
        <f>VLOOKUP(AH604,'Hess and Brezowsky'!$B$2:$G$31,3,FALSE)</f>
        <v>A</v>
      </c>
      <c r="AK604" s="13" t="str">
        <f>VLOOKUP(AH604,'Hess and Brezowsky'!$B$2:$G$31,4,FALSE)</f>
        <v>Anticyclonic North-Westerly</v>
      </c>
      <c r="AL604" s="29">
        <v>0.30675925925925923</v>
      </c>
      <c r="AM604" s="29">
        <v>0.5037962962962963</v>
      </c>
      <c r="AN604" s="30">
        <v>0.70082175925925927</v>
      </c>
    </row>
    <row r="605" spans="1:40" ht="15.75" customHeight="1" x14ac:dyDescent="0.2">
      <c r="A605" s="27">
        <v>45325</v>
      </c>
      <c r="B605" s="13">
        <v>2024</v>
      </c>
      <c r="C605" s="13">
        <v>34</v>
      </c>
      <c r="D605" s="13">
        <f t="shared" si="26"/>
        <v>7</v>
      </c>
      <c r="E605" s="13"/>
      <c r="F605" s="13">
        <f t="shared" si="25"/>
        <v>5</v>
      </c>
      <c r="G605" s="14">
        <v>0</v>
      </c>
      <c r="H605" s="14">
        <v>1</v>
      </c>
      <c r="I605" s="14">
        <v>1</v>
      </c>
      <c r="J605" s="14">
        <v>1</v>
      </c>
      <c r="K605" s="14">
        <v>1</v>
      </c>
      <c r="L605" s="14">
        <v>1</v>
      </c>
      <c r="M605" s="15">
        <v>271.81599999999997</v>
      </c>
      <c r="N605" s="16" t="str">
        <f t="shared" si="27"/>
        <v>W</v>
      </c>
      <c r="O605" s="17">
        <v>6.4</v>
      </c>
      <c r="P605" s="16" t="s">
        <v>140</v>
      </c>
      <c r="Q605" s="18">
        <v>0.2</v>
      </c>
      <c r="R605" s="19">
        <v>9.84</v>
      </c>
      <c r="S605" s="19">
        <v>8.5</v>
      </c>
      <c r="T605" s="19">
        <v>10.9</v>
      </c>
      <c r="U605" s="20">
        <v>272.31</v>
      </c>
      <c r="V605" s="16" t="s">
        <v>16</v>
      </c>
      <c r="W605" s="21">
        <v>0</v>
      </c>
      <c r="X605" s="21">
        <v>0</v>
      </c>
      <c r="Y605" s="21">
        <v>0</v>
      </c>
      <c r="Z605" s="21">
        <v>0</v>
      </c>
      <c r="AA605" s="21">
        <v>0</v>
      </c>
      <c r="AB605" s="21">
        <v>0</v>
      </c>
      <c r="AC605" s="21">
        <v>1</v>
      </c>
      <c r="AD605" s="21">
        <v>0</v>
      </c>
      <c r="AE605" s="21">
        <v>8.5</v>
      </c>
      <c r="AF605" s="21">
        <v>8.48</v>
      </c>
      <c r="AG605" s="21">
        <v>11.3</v>
      </c>
      <c r="AH605" s="18" t="s">
        <v>44</v>
      </c>
      <c r="AI605" s="13" t="str">
        <f>VLOOKUP(AH605,'Hess and Brezowsky'!$B$2:$G$31,2,FALSE)</f>
        <v>Mixed</v>
      </c>
      <c r="AJ605" s="18" t="str">
        <f>VLOOKUP(AH605,'Hess and Brezowsky'!$B$2:$G$31,3,FALSE)</f>
        <v>A</v>
      </c>
      <c r="AK605" s="13" t="str">
        <f>VLOOKUP(AH605,'Hess and Brezowsky'!$B$2:$G$31,4,FALSE)</f>
        <v>Anticyclonic North-Westerly</v>
      </c>
      <c r="AL605" s="29">
        <v>0.30579861111111112</v>
      </c>
      <c r="AM605" s="29">
        <v>0.50388888888888894</v>
      </c>
      <c r="AN605" s="30">
        <v>0.70197916666666671</v>
      </c>
    </row>
    <row r="606" spans="1:40" ht="15.75" customHeight="1" x14ac:dyDescent="0.2">
      <c r="A606" s="27">
        <v>45326</v>
      </c>
      <c r="B606" s="13">
        <v>2024</v>
      </c>
      <c r="C606" s="13">
        <v>35</v>
      </c>
      <c r="D606" s="13">
        <f t="shared" si="26"/>
        <v>1</v>
      </c>
      <c r="E606" s="13"/>
      <c r="F606" s="13">
        <f t="shared" si="25"/>
        <v>5</v>
      </c>
      <c r="G606" s="14">
        <v>0</v>
      </c>
      <c r="H606" s="14">
        <v>1</v>
      </c>
      <c r="I606" s="14">
        <v>1</v>
      </c>
      <c r="J606" s="14">
        <v>1</v>
      </c>
      <c r="K606" s="14">
        <v>1</v>
      </c>
      <c r="L606" s="14">
        <v>1</v>
      </c>
      <c r="M606" s="15">
        <v>257.03199999999998</v>
      </c>
      <c r="N606" s="16" t="str">
        <f t="shared" si="27"/>
        <v>W</v>
      </c>
      <c r="O606" s="17">
        <v>7.3</v>
      </c>
      <c r="P606" s="16" t="s">
        <v>140</v>
      </c>
      <c r="Q606" s="18">
        <v>0</v>
      </c>
      <c r="R606" s="19">
        <v>9.9</v>
      </c>
      <c r="S606" s="19">
        <v>9.5</v>
      </c>
      <c r="T606" s="19">
        <v>10.7</v>
      </c>
      <c r="U606" s="20">
        <v>259.58</v>
      </c>
      <c r="V606" s="16" t="s">
        <v>16</v>
      </c>
      <c r="W606" s="21">
        <v>0</v>
      </c>
      <c r="X606" s="21">
        <v>0</v>
      </c>
      <c r="Y606" s="21">
        <v>0</v>
      </c>
      <c r="Z606" s="21">
        <v>0</v>
      </c>
      <c r="AA606" s="21">
        <v>0</v>
      </c>
      <c r="AB606" s="21">
        <v>0.08</v>
      </c>
      <c r="AC606" s="21">
        <v>0.92</v>
      </c>
      <c r="AD606" s="21">
        <v>0</v>
      </c>
      <c r="AE606" s="21">
        <v>9.23</v>
      </c>
      <c r="AF606" s="21">
        <v>9.16</v>
      </c>
      <c r="AG606" s="21">
        <v>11.8</v>
      </c>
      <c r="AH606" s="18" t="s">
        <v>29</v>
      </c>
      <c r="AI606" s="13" t="str">
        <f>VLOOKUP(AH606,'Hess and Brezowsky'!$B$2:$G$31,2,FALSE)</f>
        <v>Mixed</v>
      </c>
      <c r="AJ606" s="18" t="str">
        <f>VLOOKUP(AH606,'Hess and Brezowsky'!$B$2:$G$31,3,FALSE)</f>
        <v>C</v>
      </c>
      <c r="AK606" s="13" t="str">
        <f>VLOOKUP(AH606,'Hess and Brezowsky'!$B$2:$G$31,4,FALSE)</f>
        <v>Cyclonic North-Westerly</v>
      </c>
      <c r="AL606" s="29">
        <v>0.30482638888888891</v>
      </c>
      <c r="AM606" s="29">
        <v>0.50396990740740744</v>
      </c>
      <c r="AN606" s="30">
        <v>0.703125</v>
      </c>
    </row>
    <row r="607" spans="1:40" ht="15.75" customHeight="1" x14ac:dyDescent="0.2">
      <c r="A607" s="27">
        <v>45327</v>
      </c>
      <c r="B607" s="13">
        <v>2024</v>
      </c>
      <c r="C607" s="13">
        <v>36</v>
      </c>
      <c r="D607" s="13">
        <f t="shared" si="26"/>
        <v>2</v>
      </c>
      <c r="E607" s="13"/>
      <c r="F607" s="13">
        <f t="shared" si="25"/>
        <v>5</v>
      </c>
      <c r="G607" s="14">
        <v>0</v>
      </c>
      <c r="H607" s="14">
        <v>1</v>
      </c>
      <c r="I607" s="14">
        <v>1</v>
      </c>
      <c r="J607" s="14">
        <v>1</v>
      </c>
      <c r="K607" s="14">
        <v>1</v>
      </c>
      <c r="L607" s="14">
        <v>1</v>
      </c>
      <c r="M607" s="15">
        <v>239.32900000000001</v>
      </c>
      <c r="N607" s="16" t="str">
        <f t="shared" si="27"/>
        <v>SW</v>
      </c>
      <c r="O607" s="17">
        <v>7.3</v>
      </c>
      <c r="P607" s="16" t="s">
        <v>140</v>
      </c>
      <c r="Q607" s="18">
        <v>0</v>
      </c>
      <c r="R607" s="19">
        <v>8.6999999999999993</v>
      </c>
      <c r="S607" s="19">
        <v>7.6</v>
      </c>
      <c r="T607" s="19">
        <v>9.6</v>
      </c>
      <c r="U607" s="20">
        <v>241.8</v>
      </c>
      <c r="V607" s="16" t="s">
        <v>5</v>
      </c>
      <c r="W607" s="21">
        <v>0</v>
      </c>
      <c r="X607" s="21">
        <v>0</v>
      </c>
      <c r="Y607" s="21">
        <v>0</v>
      </c>
      <c r="Z607" s="21">
        <v>0</v>
      </c>
      <c r="AA607" s="21">
        <v>0</v>
      </c>
      <c r="AB607" s="21">
        <v>0.75</v>
      </c>
      <c r="AC607" s="21">
        <v>0.25</v>
      </c>
      <c r="AD607" s="21">
        <v>0</v>
      </c>
      <c r="AE607" s="21">
        <v>7.55</v>
      </c>
      <c r="AF607" s="21">
        <v>7.42</v>
      </c>
      <c r="AG607" s="21">
        <v>11.9</v>
      </c>
      <c r="AH607" s="18" t="s">
        <v>29</v>
      </c>
      <c r="AI607" s="13" t="str">
        <f>VLOOKUP(AH607,'Hess and Brezowsky'!$B$2:$G$31,2,FALSE)</f>
        <v>Mixed</v>
      </c>
      <c r="AJ607" s="18" t="str">
        <f>VLOOKUP(AH607,'Hess and Brezowsky'!$B$2:$G$31,3,FALSE)</f>
        <v>C</v>
      </c>
      <c r="AK607" s="13" t="str">
        <f>VLOOKUP(AH607,'Hess and Brezowsky'!$B$2:$G$31,4,FALSE)</f>
        <v>Cyclonic North-Westerly</v>
      </c>
      <c r="AL607" s="29">
        <v>0.30381944444444442</v>
      </c>
      <c r="AM607" s="29">
        <v>0.50405092592592593</v>
      </c>
      <c r="AN607" s="30">
        <v>0.70428240740740744</v>
      </c>
    </row>
    <row r="608" spans="1:40" ht="15.75" customHeight="1" x14ac:dyDescent="0.2">
      <c r="A608" s="27">
        <v>45328</v>
      </c>
      <c r="B608" s="13">
        <v>2024</v>
      </c>
      <c r="C608" s="13">
        <v>37</v>
      </c>
      <c r="D608" s="13">
        <f t="shared" si="26"/>
        <v>3</v>
      </c>
      <c r="E608" s="13"/>
      <c r="F608" s="13">
        <f t="shared" si="25"/>
        <v>5</v>
      </c>
      <c r="G608" s="14">
        <v>0</v>
      </c>
      <c r="H608" s="14">
        <v>1</v>
      </c>
      <c r="I608" s="14">
        <v>1</v>
      </c>
      <c r="J608" s="14">
        <v>0.79</v>
      </c>
      <c r="K608" s="14">
        <v>1</v>
      </c>
      <c r="L608" s="14">
        <v>1</v>
      </c>
      <c r="M608" s="15">
        <v>227.441</v>
      </c>
      <c r="N608" s="16" t="str">
        <f t="shared" si="27"/>
        <v>SW</v>
      </c>
      <c r="O608" s="17">
        <v>11</v>
      </c>
      <c r="P608" s="16" t="s">
        <v>137</v>
      </c>
      <c r="Q608" s="18">
        <v>0</v>
      </c>
      <c r="R608" s="19">
        <v>10.119999999999999</v>
      </c>
      <c r="S608" s="19">
        <v>7.6</v>
      </c>
      <c r="T608" s="19">
        <v>12.2</v>
      </c>
      <c r="U608" s="20">
        <v>229.23</v>
      </c>
      <c r="V608" s="16" t="s">
        <v>5</v>
      </c>
      <c r="W608" s="21">
        <v>0</v>
      </c>
      <c r="X608" s="21">
        <v>0</v>
      </c>
      <c r="Y608" s="21">
        <v>0</v>
      </c>
      <c r="Z608" s="21">
        <v>0</v>
      </c>
      <c r="AA608" s="21">
        <v>0</v>
      </c>
      <c r="AB608" s="21">
        <v>1</v>
      </c>
      <c r="AC608" s="21">
        <v>0</v>
      </c>
      <c r="AD608" s="21">
        <v>0</v>
      </c>
      <c r="AE608" s="21">
        <v>11.65</v>
      </c>
      <c r="AF608" s="21">
        <v>11.64</v>
      </c>
      <c r="AG608" s="21">
        <v>15.1</v>
      </c>
      <c r="AH608" s="18" t="s">
        <v>29</v>
      </c>
      <c r="AI608" s="13" t="str">
        <f>VLOOKUP(AH608,'Hess and Brezowsky'!$B$2:$G$31,2,FALSE)</f>
        <v>Mixed</v>
      </c>
      <c r="AJ608" s="18" t="str">
        <f>VLOOKUP(AH608,'Hess and Brezowsky'!$B$2:$G$31,3,FALSE)</f>
        <v>C</v>
      </c>
      <c r="AK608" s="13" t="str">
        <f>VLOOKUP(AH608,'Hess and Brezowsky'!$B$2:$G$31,4,FALSE)</f>
        <v>Cyclonic North-Westerly</v>
      </c>
      <c r="AL608" s="29">
        <v>0.30280092592592595</v>
      </c>
      <c r="AM608" s="29">
        <v>0.50412037037037039</v>
      </c>
      <c r="AN608" s="30">
        <v>0.70542824074074073</v>
      </c>
    </row>
    <row r="609" spans="1:40" ht="15.75" customHeight="1" x14ac:dyDescent="0.2">
      <c r="A609" s="27">
        <v>45329</v>
      </c>
      <c r="B609" s="13">
        <v>2024</v>
      </c>
      <c r="C609" s="13">
        <v>38</v>
      </c>
      <c r="D609" s="13">
        <f t="shared" si="26"/>
        <v>4</v>
      </c>
      <c r="E609" s="13"/>
      <c r="F609" s="13">
        <f t="shared" si="25"/>
        <v>4</v>
      </c>
      <c r="G609" s="14">
        <v>0</v>
      </c>
      <c r="H609" s="14">
        <v>1</v>
      </c>
      <c r="I609" s="14">
        <v>1</v>
      </c>
      <c r="J609" s="14">
        <v>0</v>
      </c>
      <c r="K609" s="14">
        <v>1</v>
      </c>
      <c r="L609" s="14">
        <v>1</v>
      </c>
      <c r="M609" s="15">
        <v>229.65299999999999</v>
      </c>
      <c r="N609" s="16"/>
      <c r="O609" s="17">
        <v>12.1</v>
      </c>
      <c r="P609" s="16" t="s">
        <v>140</v>
      </c>
      <c r="Q609" s="18">
        <v>5.8</v>
      </c>
      <c r="R609" s="19">
        <v>11.6</v>
      </c>
      <c r="S609" s="19">
        <v>11</v>
      </c>
      <c r="T609" s="19">
        <v>12.4</v>
      </c>
      <c r="U609" s="20">
        <v>229.88</v>
      </c>
      <c r="V609" s="16" t="s">
        <v>5</v>
      </c>
      <c r="W609" s="21">
        <v>0</v>
      </c>
      <c r="X609" s="21">
        <v>0</v>
      </c>
      <c r="Y609" s="21">
        <v>0</v>
      </c>
      <c r="Z609" s="21">
        <v>0</v>
      </c>
      <c r="AA609" s="21">
        <v>0</v>
      </c>
      <c r="AB609" s="21">
        <v>0.96</v>
      </c>
      <c r="AC609" s="21">
        <v>0.04</v>
      </c>
      <c r="AD609" s="21">
        <v>0</v>
      </c>
      <c r="AE609" s="21">
        <v>12.24</v>
      </c>
      <c r="AF609" s="21">
        <v>12.12</v>
      </c>
      <c r="AG609" s="21">
        <v>14.6</v>
      </c>
      <c r="AH609" s="18" t="s">
        <v>29</v>
      </c>
      <c r="AI609" s="13" t="str">
        <f>VLOOKUP(AH609,'Hess and Brezowsky'!$B$2:$G$31,2,FALSE)</f>
        <v>Mixed</v>
      </c>
      <c r="AJ609" s="18" t="str">
        <f>VLOOKUP(AH609,'Hess and Brezowsky'!$B$2:$G$31,3,FALSE)</f>
        <v>C</v>
      </c>
      <c r="AK609" s="13" t="str">
        <f>VLOOKUP(AH609,'Hess and Brezowsky'!$B$2:$G$31,4,FALSE)</f>
        <v>Cyclonic North-Westerly</v>
      </c>
      <c r="AL609" s="29">
        <v>0.30175925925925928</v>
      </c>
      <c r="AM609" s="29">
        <v>0.50417824074074069</v>
      </c>
      <c r="AN609" s="30">
        <v>0.70658564814814817</v>
      </c>
    </row>
    <row r="610" spans="1:40" ht="15.75" customHeight="1" x14ac:dyDescent="0.2">
      <c r="A610" s="27">
        <v>45330</v>
      </c>
      <c r="B610" s="13">
        <v>2024</v>
      </c>
      <c r="C610" s="13">
        <v>39</v>
      </c>
      <c r="D610" s="13">
        <f t="shared" si="26"/>
        <v>5</v>
      </c>
      <c r="E610" s="13"/>
      <c r="F610" s="13">
        <f t="shared" si="25"/>
        <v>4</v>
      </c>
      <c r="G610" s="14">
        <v>0</v>
      </c>
      <c r="H610" s="14">
        <v>1</v>
      </c>
      <c r="I610" s="14">
        <v>1</v>
      </c>
      <c r="J610" s="14">
        <v>0</v>
      </c>
      <c r="K610" s="14">
        <v>1</v>
      </c>
      <c r="L610" s="14">
        <v>1</v>
      </c>
      <c r="M610" s="15">
        <v>213.26599999999999</v>
      </c>
      <c r="N610" s="16" t="str">
        <f t="shared" ref="N610:N636" si="28">IF(AND(M610 &gt; 22.5,M610&lt;=67.6),"NE",IF(AND(M610 &gt; 67.5,M610&lt;=112.5),"E",IF(AND(M610 &gt; 112.5,M610&lt;=157.5),"SE",IF(AND(M610 &gt; 157.5,M610&lt;=202.5),"S",IF(AND(M610 &gt; 202.5,M610&lt;=247.5),"SW",IF(AND(M610 &gt; 247.5,M610&lt;=292.5),"W",IF(AND(M610 &gt; 292.5,M610&lt;=337.5),"NW",IF(AND(M610 &gt; 22.5,M610&lt;=360),"N","N"))))))))</f>
        <v>SW</v>
      </c>
      <c r="O610" s="17">
        <v>11.7</v>
      </c>
      <c r="P610" s="16" t="s">
        <v>140</v>
      </c>
      <c r="Q610" s="18">
        <v>6.4</v>
      </c>
      <c r="R610" s="19">
        <v>12.13</v>
      </c>
      <c r="S610" s="19">
        <v>10.199999999999999</v>
      </c>
      <c r="T610" s="19">
        <v>13.9</v>
      </c>
      <c r="U610" s="20">
        <v>240</v>
      </c>
      <c r="V610" s="16" t="s">
        <v>5</v>
      </c>
      <c r="W610" s="21">
        <v>0</v>
      </c>
      <c r="X610" s="21">
        <v>0</v>
      </c>
      <c r="Y610" s="21">
        <v>0</v>
      </c>
      <c r="Z610" s="21">
        <v>0</v>
      </c>
      <c r="AA610" s="21">
        <v>0</v>
      </c>
      <c r="AB610" s="21">
        <v>0.04</v>
      </c>
      <c r="AC610" s="21">
        <v>0</v>
      </c>
      <c r="AD610" s="21">
        <v>0</v>
      </c>
      <c r="AE610" s="21">
        <v>10.65</v>
      </c>
      <c r="AF610" s="21">
        <v>10.65</v>
      </c>
      <c r="AG610" s="21">
        <v>10.7</v>
      </c>
      <c r="AH610" s="18" t="s">
        <v>12</v>
      </c>
      <c r="AI610" s="13" t="str">
        <f>VLOOKUP(AH610,'Hess and Brezowsky'!$B$2:$G$31,2,FALSE)</f>
        <v>Undefined</v>
      </c>
      <c r="AJ610" s="18" t="str">
        <f>VLOOKUP(AH610,'Hess and Brezowsky'!$B$2:$G$31,3,FALSE)</f>
        <v>M</v>
      </c>
      <c r="AK610" s="13" t="str">
        <f>VLOOKUP(AH610,'Hess and Brezowsky'!$B$2:$G$31,4,FALSE)</f>
        <v>Transistion / Undefined</v>
      </c>
      <c r="AL610" s="29">
        <v>0.30069444444444443</v>
      </c>
      <c r="AM610" s="29">
        <v>0.50422453703703707</v>
      </c>
      <c r="AN610" s="30">
        <v>0.7077430555555555</v>
      </c>
    </row>
    <row r="611" spans="1:40" ht="15.75" customHeight="1" x14ac:dyDescent="0.2">
      <c r="A611" s="27">
        <v>45331</v>
      </c>
      <c r="B611" s="13">
        <v>2024</v>
      </c>
      <c r="C611" s="13">
        <v>40</v>
      </c>
      <c r="D611" s="13">
        <f t="shared" si="26"/>
        <v>6</v>
      </c>
      <c r="E611" s="13"/>
      <c r="F611" s="13">
        <f t="shared" si="25"/>
        <v>4</v>
      </c>
      <c r="G611" s="14">
        <v>0</v>
      </c>
      <c r="H611" s="14">
        <v>1</v>
      </c>
      <c r="I611" s="14">
        <v>1</v>
      </c>
      <c r="J611" s="14">
        <v>0</v>
      </c>
      <c r="K611" s="14">
        <v>0.62</v>
      </c>
      <c r="L611" s="14">
        <v>1</v>
      </c>
      <c r="M611" s="15">
        <v>203.39500000000001</v>
      </c>
      <c r="N611" s="16" t="str">
        <f t="shared" si="28"/>
        <v>SW</v>
      </c>
      <c r="O611" s="17">
        <v>11.1</v>
      </c>
      <c r="P611" s="16" t="s">
        <v>140</v>
      </c>
      <c r="Q611" s="18">
        <v>0</v>
      </c>
      <c r="R611" s="19">
        <v>11.59</v>
      </c>
      <c r="S611" s="19">
        <v>9.6</v>
      </c>
      <c r="T611" s="19">
        <v>14</v>
      </c>
      <c r="U611" s="20" t="e">
        <f>NA()</f>
        <v>#N/A</v>
      </c>
      <c r="V611" s="16" t="e">
        <f>NA()</f>
        <v>#N/A</v>
      </c>
      <c r="W611" s="21" t="e">
        <f>NA()</f>
        <v>#N/A</v>
      </c>
      <c r="X611" s="21" t="e">
        <f>NA()</f>
        <v>#N/A</v>
      </c>
      <c r="Y611" s="21" t="e">
        <f>NA()</f>
        <v>#N/A</v>
      </c>
      <c r="Z611" s="21" t="e">
        <f>NA()</f>
        <v>#N/A</v>
      </c>
      <c r="AA611" s="21" t="e">
        <f>NA()</f>
        <v>#N/A</v>
      </c>
      <c r="AB611" s="21" t="e">
        <f>NA()</f>
        <v>#N/A</v>
      </c>
      <c r="AC611" s="21" t="e">
        <f>NA()</f>
        <v>#N/A</v>
      </c>
      <c r="AD611" s="21" t="e">
        <f>NA()</f>
        <v>#N/A</v>
      </c>
      <c r="AE611" s="21" t="e">
        <f>NA()</f>
        <v>#N/A</v>
      </c>
      <c r="AF611" s="21" t="e">
        <f>NA()</f>
        <v>#N/A</v>
      </c>
      <c r="AG611" s="21" t="e">
        <f>NA()</f>
        <v>#N/A</v>
      </c>
      <c r="AH611" s="18" t="s">
        <v>12</v>
      </c>
      <c r="AI611" s="13" t="str">
        <f>VLOOKUP(AH611,'Hess and Brezowsky'!$B$2:$G$31,2,FALSE)</f>
        <v>Undefined</v>
      </c>
      <c r="AJ611" s="18" t="str">
        <f>VLOOKUP(AH611,'Hess and Brezowsky'!$B$2:$G$31,3,FALSE)</f>
        <v>M</v>
      </c>
      <c r="AK611" s="13" t="str">
        <f>VLOOKUP(AH611,'Hess and Brezowsky'!$B$2:$G$31,4,FALSE)</f>
        <v>Transistion / Undefined</v>
      </c>
      <c r="AL611" s="29">
        <v>0.29961805555555554</v>
      </c>
      <c r="AM611" s="29">
        <v>0.5042592592592593</v>
      </c>
      <c r="AN611" s="30">
        <v>0.70890046296296294</v>
      </c>
    </row>
    <row r="612" spans="1:40" ht="15.75" customHeight="1" x14ac:dyDescent="0.2">
      <c r="A612" s="27">
        <v>45332</v>
      </c>
      <c r="B612" s="13">
        <v>2024</v>
      </c>
      <c r="C612" s="13">
        <v>41</v>
      </c>
      <c r="D612" s="13">
        <f t="shared" si="26"/>
        <v>7</v>
      </c>
      <c r="E612" s="13"/>
      <c r="F612" s="13">
        <f t="shared" si="25"/>
        <v>3</v>
      </c>
      <c r="G612" s="14">
        <v>0</v>
      </c>
      <c r="H612" s="14">
        <v>1</v>
      </c>
      <c r="I612" s="14">
        <v>1</v>
      </c>
      <c r="J612" s="14">
        <v>0</v>
      </c>
      <c r="K612" s="14">
        <v>0</v>
      </c>
      <c r="L612" s="14">
        <v>0.95</v>
      </c>
      <c r="M612" s="15">
        <v>220.86500000000001</v>
      </c>
      <c r="N612" s="16" t="str">
        <f t="shared" si="28"/>
        <v>SW</v>
      </c>
      <c r="O612" s="17">
        <v>6.3</v>
      </c>
      <c r="P612" s="16" t="s">
        <v>140</v>
      </c>
      <c r="Q612" s="18">
        <v>6.3</v>
      </c>
      <c r="R612" s="19">
        <v>8.6199999999999992</v>
      </c>
      <c r="S612" s="19">
        <v>6.9</v>
      </c>
      <c r="T612" s="19">
        <v>10.6</v>
      </c>
      <c r="U612" s="20" t="e">
        <f>NA()</f>
        <v>#N/A</v>
      </c>
      <c r="V612" s="16" t="e">
        <f>NA()</f>
        <v>#N/A</v>
      </c>
      <c r="W612" s="21" t="e">
        <f>NA()</f>
        <v>#N/A</v>
      </c>
      <c r="X612" s="21" t="e">
        <f>NA()</f>
        <v>#N/A</v>
      </c>
      <c r="Y612" s="21" t="e">
        <f>NA()</f>
        <v>#N/A</v>
      </c>
      <c r="Z612" s="21" t="e">
        <f>NA()</f>
        <v>#N/A</v>
      </c>
      <c r="AA612" s="21" t="e">
        <f>NA()</f>
        <v>#N/A</v>
      </c>
      <c r="AB612" s="21" t="e">
        <f>NA()</f>
        <v>#N/A</v>
      </c>
      <c r="AC612" s="21" t="e">
        <f>NA()</f>
        <v>#N/A</v>
      </c>
      <c r="AD612" s="21" t="e">
        <f>NA()</f>
        <v>#N/A</v>
      </c>
      <c r="AE612" s="21" t="e">
        <f>NA()</f>
        <v>#N/A</v>
      </c>
      <c r="AF612" s="21" t="e">
        <f>NA()</f>
        <v>#N/A</v>
      </c>
      <c r="AG612" s="21" t="e">
        <f>NA()</f>
        <v>#N/A</v>
      </c>
      <c r="AH612" s="18" t="s">
        <v>36</v>
      </c>
      <c r="AI612" s="13" t="str">
        <f>VLOOKUP(AH612,'Hess and Brezowsky'!$B$2:$G$31,2,FALSE)</f>
        <v>Meridional</v>
      </c>
      <c r="AJ612" s="18" t="str">
        <f>VLOOKUP(AH612,'Hess and Brezowsky'!$B$2:$G$31,3,FALSE)</f>
        <v>C</v>
      </c>
      <c r="AK612" s="13" t="str">
        <f>VLOOKUP(AH612,'Hess and Brezowsky'!$B$2:$G$31,4,FALSE)</f>
        <v>Low over the British Isles</v>
      </c>
      <c r="AL612" s="29">
        <v>0.29851851851851852</v>
      </c>
      <c r="AM612" s="29">
        <v>0.50428240740740737</v>
      </c>
      <c r="AN612" s="30">
        <v>0.71005787037037038</v>
      </c>
    </row>
    <row r="613" spans="1:40" ht="15.75" customHeight="1" x14ac:dyDescent="0.2">
      <c r="A613" s="27">
        <v>45333</v>
      </c>
      <c r="B613" s="13">
        <v>2024</v>
      </c>
      <c r="C613" s="13">
        <v>42</v>
      </c>
      <c r="D613" s="13">
        <f t="shared" si="26"/>
        <v>1</v>
      </c>
      <c r="E613" s="13"/>
      <c r="F613" s="13">
        <f t="shared" si="25"/>
        <v>3</v>
      </c>
      <c r="G613" s="14">
        <v>0</v>
      </c>
      <c r="H613" s="14">
        <v>1</v>
      </c>
      <c r="I613" s="14">
        <v>1</v>
      </c>
      <c r="J613" s="14">
        <v>0</v>
      </c>
      <c r="K613" s="14">
        <v>0</v>
      </c>
      <c r="L613" s="14">
        <v>1</v>
      </c>
      <c r="M613" s="15">
        <v>244.69499999999999</v>
      </c>
      <c r="N613" s="16" t="str">
        <f t="shared" si="28"/>
        <v>SW</v>
      </c>
      <c r="O613" s="17">
        <v>9.6</v>
      </c>
      <c r="P613" s="16" t="s">
        <v>137</v>
      </c>
      <c r="Q613" s="18">
        <v>0.6</v>
      </c>
      <c r="R613" s="19">
        <v>9.02</v>
      </c>
      <c r="S613" s="19">
        <v>6.8</v>
      </c>
      <c r="T613" s="19">
        <v>11</v>
      </c>
      <c r="U613" s="20" t="e">
        <f>NA()</f>
        <v>#N/A</v>
      </c>
      <c r="V613" s="16" t="e">
        <f>NA()</f>
        <v>#N/A</v>
      </c>
      <c r="W613" s="21" t="e">
        <f>NA()</f>
        <v>#N/A</v>
      </c>
      <c r="X613" s="21" t="e">
        <f>NA()</f>
        <v>#N/A</v>
      </c>
      <c r="Y613" s="21" t="e">
        <f>NA()</f>
        <v>#N/A</v>
      </c>
      <c r="Z613" s="21" t="e">
        <f>NA()</f>
        <v>#N/A</v>
      </c>
      <c r="AA613" s="21" t="e">
        <f>NA()</f>
        <v>#N/A</v>
      </c>
      <c r="AB613" s="21" t="e">
        <f>NA()</f>
        <v>#N/A</v>
      </c>
      <c r="AC613" s="21" t="e">
        <f>NA()</f>
        <v>#N/A</v>
      </c>
      <c r="AD613" s="21" t="e">
        <f>NA()</f>
        <v>#N/A</v>
      </c>
      <c r="AE613" s="21" t="e">
        <f>NA()</f>
        <v>#N/A</v>
      </c>
      <c r="AF613" s="21" t="e">
        <f>NA()</f>
        <v>#N/A</v>
      </c>
      <c r="AG613" s="21" t="e">
        <f>NA()</f>
        <v>#N/A</v>
      </c>
      <c r="AH613" s="18" t="s">
        <v>36</v>
      </c>
      <c r="AI613" s="13" t="str">
        <f>VLOOKUP(AH613,'Hess and Brezowsky'!$B$2:$G$31,2,FALSE)</f>
        <v>Meridional</v>
      </c>
      <c r="AJ613" s="18" t="str">
        <f>VLOOKUP(AH613,'Hess and Brezowsky'!$B$2:$G$31,3,FALSE)</f>
        <v>C</v>
      </c>
      <c r="AK613" s="13" t="str">
        <f>VLOOKUP(AH613,'Hess and Brezowsky'!$B$2:$G$31,4,FALSE)</f>
        <v>Low over the British Isles</v>
      </c>
      <c r="AL613" s="29">
        <v>0.29739583333333336</v>
      </c>
      <c r="AM613" s="29">
        <v>0.50430555555555556</v>
      </c>
      <c r="AN613" s="30">
        <v>0.71121527777777782</v>
      </c>
    </row>
    <row r="614" spans="1:40" ht="15.75" customHeight="1" x14ac:dyDescent="0.2">
      <c r="A614" s="27">
        <v>45334</v>
      </c>
      <c r="B614" s="13">
        <v>2024</v>
      </c>
      <c r="C614" s="13">
        <v>43</v>
      </c>
      <c r="D614" s="13">
        <f t="shared" si="26"/>
        <v>2</v>
      </c>
      <c r="E614" s="13"/>
      <c r="F614" s="13">
        <f t="shared" si="25"/>
        <v>4</v>
      </c>
      <c r="G614" s="14">
        <v>0</v>
      </c>
      <c r="H614" s="14">
        <v>1</v>
      </c>
      <c r="I614" s="14">
        <v>1</v>
      </c>
      <c r="J614" s="14">
        <v>0</v>
      </c>
      <c r="K614" s="14">
        <v>0.57999999999999996</v>
      </c>
      <c r="L614" s="14">
        <v>1</v>
      </c>
      <c r="M614" s="15">
        <v>273.05399999999997</v>
      </c>
      <c r="N614" s="16" t="str">
        <f t="shared" si="28"/>
        <v>W</v>
      </c>
      <c r="O614" s="17">
        <v>5</v>
      </c>
      <c r="P614" s="16" t="s">
        <v>137</v>
      </c>
      <c r="Q614" s="18">
        <v>0</v>
      </c>
      <c r="R614" s="19">
        <v>7.56</v>
      </c>
      <c r="S614" s="19">
        <v>4.8</v>
      </c>
      <c r="T614" s="19">
        <v>11</v>
      </c>
      <c r="U614" s="20" t="e">
        <f>NA()</f>
        <v>#N/A</v>
      </c>
      <c r="V614" s="16" t="e">
        <f>NA()</f>
        <v>#N/A</v>
      </c>
      <c r="W614" s="21" t="e">
        <f>NA()</f>
        <v>#N/A</v>
      </c>
      <c r="X614" s="21" t="e">
        <f>NA()</f>
        <v>#N/A</v>
      </c>
      <c r="Y614" s="21" t="e">
        <f>NA()</f>
        <v>#N/A</v>
      </c>
      <c r="Z614" s="21" t="e">
        <f>NA()</f>
        <v>#N/A</v>
      </c>
      <c r="AA614" s="21" t="e">
        <f>NA()</f>
        <v>#N/A</v>
      </c>
      <c r="AB614" s="21" t="e">
        <f>NA()</f>
        <v>#N/A</v>
      </c>
      <c r="AC614" s="21" t="e">
        <f>NA()</f>
        <v>#N/A</v>
      </c>
      <c r="AD614" s="21" t="e">
        <f>NA()</f>
        <v>#N/A</v>
      </c>
      <c r="AE614" s="21" t="e">
        <f>NA()</f>
        <v>#N/A</v>
      </c>
      <c r="AF614" s="21" t="e">
        <f>NA()</f>
        <v>#N/A</v>
      </c>
      <c r="AG614" s="21" t="e">
        <f>NA()</f>
        <v>#N/A</v>
      </c>
      <c r="AH614" s="18" t="s">
        <v>36</v>
      </c>
      <c r="AI614" s="13" t="str">
        <f>VLOOKUP(AH614,'Hess and Brezowsky'!$B$2:$G$31,2,FALSE)</f>
        <v>Meridional</v>
      </c>
      <c r="AJ614" s="18" t="str">
        <f>VLOOKUP(AH614,'Hess and Brezowsky'!$B$2:$G$31,3,FALSE)</f>
        <v>C</v>
      </c>
      <c r="AK614" s="13" t="str">
        <f>VLOOKUP(AH614,'Hess and Brezowsky'!$B$2:$G$31,4,FALSE)</f>
        <v>Low over the British Isles</v>
      </c>
      <c r="AL614" s="29">
        <v>0.29626157407407405</v>
      </c>
      <c r="AM614" s="29">
        <v>0.5043171296296296</v>
      </c>
      <c r="AN614" s="30">
        <v>0.71237268518518515</v>
      </c>
    </row>
    <row r="615" spans="1:40" ht="15.75" customHeight="1" x14ac:dyDescent="0.2">
      <c r="A615" s="27">
        <v>45335</v>
      </c>
      <c r="B615" s="13">
        <v>2024</v>
      </c>
      <c r="C615" s="13">
        <v>44</v>
      </c>
      <c r="D615" s="13">
        <f t="shared" si="26"/>
        <v>3</v>
      </c>
      <c r="E615" s="13"/>
      <c r="F615" s="13">
        <f t="shared" si="25"/>
        <v>4</v>
      </c>
      <c r="G615" s="14">
        <v>0</v>
      </c>
      <c r="H615" s="14">
        <v>1</v>
      </c>
      <c r="I615" s="14">
        <v>1</v>
      </c>
      <c r="J615" s="14">
        <v>0</v>
      </c>
      <c r="K615" s="14">
        <v>1</v>
      </c>
      <c r="L615" s="14">
        <v>1</v>
      </c>
      <c r="M615" s="15">
        <v>211.83099999999999</v>
      </c>
      <c r="N615" s="16" t="str">
        <f t="shared" si="28"/>
        <v>SW</v>
      </c>
      <c r="O615" s="17">
        <v>7.8</v>
      </c>
      <c r="P615" s="16" t="s">
        <v>137</v>
      </c>
      <c r="Q615" s="18">
        <v>0.2</v>
      </c>
      <c r="R615" s="19">
        <v>7.64</v>
      </c>
      <c r="S615" s="19">
        <v>3.3</v>
      </c>
      <c r="T615" s="19">
        <v>10.5</v>
      </c>
      <c r="U615" s="20">
        <v>198.91</v>
      </c>
      <c r="V615" s="16" t="s">
        <v>13</v>
      </c>
      <c r="W615" s="21">
        <v>0</v>
      </c>
      <c r="X615" s="21">
        <v>0</v>
      </c>
      <c r="Y615" s="21">
        <v>0</v>
      </c>
      <c r="Z615" s="21">
        <v>0</v>
      </c>
      <c r="AA615" s="21">
        <v>0.33</v>
      </c>
      <c r="AB615" s="21">
        <v>0.12</v>
      </c>
      <c r="AC615" s="21">
        <v>0</v>
      </c>
      <c r="AD615" s="21">
        <v>0</v>
      </c>
      <c r="AE615" s="21">
        <v>9.26</v>
      </c>
      <c r="AF615" s="21">
        <v>9.17</v>
      </c>
      <c r="AG615" s="21">
        <v>13.7</v>
      </c>
      <c r="AH615" s="18" t="s">
        <v>32</v>
      </c>
      <c r="AI615" s="13" t="str">
        <f>VLOOKUP(AH615,'Hess and Brezowsky'!$B$2:$G$31,2,FALSE)</f>
        <v>Mixed</v>
      </c>
      <c r="AJ615" s="18" t="str">
        <f>VLOOKUP(AH615,'Hess and Brezowsky'!$B$2:$G$31,3,FALSE)</f>
        <v>A</v>
      </c>
      <c r="AK615" s="13" t="str">
        <f>VLOOKUP(AH615,'Hess and Brezowsky'!$B$2:$G$31,4,FALSE)</f>
        <v>Anticyclonic South-Westerly</v>
      </c>
      <c r="AL615" s="29">
        <v>0.29511574074074076</v>
      </c>
      <c r="AM615" s="29">
        <v>0.5043171296296296</v>
      </c>
      <c r="AN615" s="30">
        <v>0.71351851851851855</v>
      </c>
    </row>
    <row r="616" spans="1:40" ht="15.75" customHeight="1" x14ac:dyDescent="0.2">
      <c r="A616" s="27">
        <v>45336</v>
      </c>
      <c r="B616" s="13">
        <v>2024</v>
      </c>
      <c r="C616" s="13">
        <v>45</v>
      </c>
      <c r="D616" s="13">
        <f t="shared" si="26"/>
        <v>4</v>
      </c>
      <c r="E616" s="13"/>
      <c r="F616" s="13">
        <f t="shared" si="25"/>
        <v>4</v>
      </c>
      <c r="G616" s="14">
        <v>0</v>
      </c>
      <c r="H616" s="14">
        <v>1</v>
      </c>
      <c r="I616" s="14">
        <v>1</v>
      </c>
      <c r="J616" s="14">
        <v>0</v>
      </c>
      <c r="K616" s="14">
        <v>1</v>
      </c>
      <c r="L616" s="14">
        <v>1</v>
      </c>
      <c r="M616" s="15">
        <v>215.97300000000001</v>
      </c>
      <c r="N616" s="16" t="str">
        <f t="shared" si="28"/>
        <v>SW</v>
      </c>
      <c r="O616" s="17">
        <v>9.1999999999999993</v>
      </c>
      <c r="P616" s="16" t="s">
        <v>137</v>
      </c>
      <c r="Q616" s="18">
        <v>0.2</v>
      </c>
      <c r="R616" s="19">
        <v>12.39</v>
      </c>
      <c r="S616" s="19">
        <v>9.9</v>
      </c>
      <c r="T616" s="19">
        <v>15.7</v>
      </c>
      <c r="U616" s="20">
        <v>215.1</v>
      </c>
      <c r="V616" s="16" t="s">
        <v>5</v>
      </c>
      <c r="W616" s="21">
        <v>0</v>
      </c>
      <c r="X616" s="21">
        <v>0</v>
      </c>
      <c r="Y616" s="21">
        <v>0</v>
      </c>
      <c r="Z616" s="21">
        <v>0</v>
      </c>
      <c r="AA616" s="21">
        <v>0.25</v>
      </c>
      <c r="AB616" s="21">
        <v>0.75</v>
      </c>
      <c r="AC616" s="21">
        <v>0</v>
      </c>
      <c r="AD616" s="21">
        <v>0</v>
      </c>
      <c r="AE616" s="21">
        <v>8.27</v>
      </c>
      <c r="AF616" s="21">
        <v>8.07</v>
      </c>
      <c r="AG616" s="21">
        <v>12.5</v>
      </c>
      <c r="AH616" s="18" t="s">
        <v>32</v>
      </c>
      <c r="AI616" s="13" t="str">
        <f>VLOOKUP(AH616,'Hess and Brezowsky'!$B$2:$G$31,2,FALSE)</f>
        <v>Mixed</v>
      </c>
      <c r="AJ616" s="18" t="str">
        <f>VLOOKUP(AH616,'Hess and Brezowsky'!$B$2:$G$31,3,FALSE)</f>
        <v>A</v>
      </c>
      <c r="AK616" s="13" t="str">
        <f>VLOOKUP(AH616,'Hess and Brezowsky'!$B$2:$G$31,4,FALSE)</f>
        <v>Anticyclonic South-Westerly</v>
      </c>
      <c r="AL616" s="29">
        <v>0.29394675925925928</v>
      </c>
      <c r="AM616" s="29">
        <v>0.50430555555555556</v>
      </c>
      <c r="AN616" s="30">
        <v>0.71467592592592588</v>
      </c>
    </row>
    <row r="617" spans="1:40" ht="15.75" customHeight="1" x14ac:dyDescent="0.2">
      <c r="A617" s="27">
        <v>45337</v>
      </c>
      <c r="B617" s="13">
        <v>2024</v>
      </c>
      <c r="C617" s="13">
        <v>46</v>
      </c>
      <c r="D617" s="13">
        <f t="shared" si="26"/>
        <v>5</v>
      </c>
      <c r="E617" s="13"/>
      <c r="F617" s="13">
        <f t="shared" si="25"/>
        <v>4</v>
      </c>
      <c r="G617" s="14">
        <v>0</v>
      </c>
      <c r="H617" s="14">
        <v>1</v>
      </c>
      <c r="I617" s="14">
        <v>1</v>
      </c>
      <c r="J617" s="14">
        <v>0</v>
      </c>
      <c r="K617" s="14">
        <v>1</v>
      </c>
      <c r="L617" s="14">
        <v>1</v>
      </c>
      <c r="M617" s="15">
        <v>179.73400000000001</v>
      </c>
      <c r="N617" s="16" t="str">
        <f t="shared" si="28"/>
        <v>S</v>
      </c>
      <c r="O617" s="17">
        <v>8.5</v>
      </c>
      <c r="P617" s="16" t="s">
        <v>137</v>
      </c>
      <c r="Q617" s="18">
        <v>0</v>
      </c>
      <c r="R617" s="19">
        <v>14.08</v>
      </c>
      <c r="S617" s="19">
        <v>9.9</v>
      </c>
      <c r="T617" s="19">
        <v>18.7</v>
      </c>
      <c r="U617" s="20">
        <v>182.62</v>
      </c>
      <c r="V617" s="16" t="s">
        <v>13</v>
      </c>
      <c r="W617" s="21">
        <v>0</v>
      </c>
      <c r="X617" s="21">
        <v>0</v>
      </c>
      <c r="Y617" s="21">
        <v>0</v>
      </c>
      <c r="Z617" s="21">
        <v>0</v>
      </c>
      <c r="AA617" s="21">
        <v>1</v>
      </c>
      <c r="AB617" s="21">
        <v>0</v>
      </c>
      <c r="AC617" s="21">
        <v>0</v>
      </c>
      <c r="AD617" s="21">
        <v>0</v>
      </c>
      <c r="AE617" s="21">
        <v>9.9</v>
      </c>
      <c r="AF617" s="21">
        <v>9.61</v>
      </c>
      <c r="AG617" s="21">
        <v>15.3</v>
      </c>
      <c r="AH617" s="18" t="s">
        <v>32</v>
      </c>
      <c r="AI617" s="13" t="str">
        <f>VLOOKUP(AH617,'Hess and Brezowsky'!$B$2:$G$31,2,FALSE)</f>
        <v>Mixed</v>
      </c>
      <c r="AJ617" s="18" t="str">
        <f>VLOOKUP(AH617,'Hess and Brezowsky'!$B$2:$G$31,3,FALSE)</f>
        <v>A</v>
      </c>
      <c r="AK617" s="13" t="str">
        <f>VLOOKUP(AH617,'Hess and Brezowsky'!$B$2:$G$31,4,FALSE)</f>
        <v>Anticyclonic South-Westerly</v>
      </c>
      <c r="AL617" s="29">
        <v>0.29275462962962961</v>
      </c>
      <c r="AM617" s="29">
        <v>0.50429398148148152</v>
      </c>
      <c r="AN617" s="30">
        <v>0.71582175925925928</v>
      </c>
    </row>
    <row r="618" spans="1:40" ht="15.75" customHeight="1" x14ac:dyDescent="0.2">
      <c r="A618" s="27">
        <v>45338</v>
      </c>
      <c r="B618" s="13">
        <v>2024</v>
      </c>
      <c r="C618" s="13">
        <v>47</v>
      </c>
      <c r="D618" s="13">
        <f t="shared" si="26"/>
        <v>6</v>
      </c>
      <c r="E618" s="13"/>
      <c r="F618" s="13">
        <f t="shared" si="25"/>
        <v>4</v>
      </c>
      <c r="G618" s="14">
        <v>0</v>
      </c>
      <c r="H618" s="14">
        <v>1</v>
      </c>
      <c r="I618" s="14">
        <v>1</v>
      </c>
      <c r="J618" s="14">
        <v>0</v>
      </c>
      <c r="K618" s="14">
        <v>1</v>
      </c>
      <c r="L618" s="14">
        <v>1</v>
      </c>
      <c r="M618" s="15">
        <v>266.69799999999998</v>
      </c>
      <c r="N618" s="16" t="str">
        <f t="shared" si="28"/>
        <v>W</v>
      </c>
      <c r="O618" s="17">
        <v>8.1999999999999993</v>
      </c>
      <c r="P618" s="16" t="s">
        <v>140</v>
      </c>
      <c r="Q618" s="18">
        <v>0.2</v>
      </c>
      <c r="R618" s="19">
        <v>13.31</v>
      </c>
      <c r="S618" s="19">
        <v>10.9</v>
      </c>
      <c r="T618" s="19">
        <v>15.4</v>
      </c>
      <c r="U618" s="20">
        <v>265.11</v>
      </c>
      <c r="V618" s="16" t="s">
        <v>16</v>
      </c>
      <c r="W618" s="21">
        <v>0</v>
      </c>
      <c r="X618" s="21">
        <v>0</v>
      </c>
      <c r="Y618" s="21">
        <v>0</v>
      </c>
      <c r="Z618" s="21">
        <v>0</v>
      </c>
      <c r="AA618" s="21">
        <v>0.04</v>
      </c>
      <c r="AB618" s="21">
        <v>0.38</v>
      </c>
      <c r="AC618" s="21">
        <v>0.04</v>
      </c>
      <c r="AD618" s="21">
        <v>0.54</v>
      </c>
      <c r="AE618" s="21">
        <v>8.86</v>
      </c>
      <c r="AF618" s="21">
        <v>6.68</v>
      </c>
      <c r="AG618" s="21">
        <v>13.4</v>
      </c>
      <c r="AH618" s="18" t="s">
        <v>12</v>
      </c>
      <c r="AI618" s="13" t="str">
        <f>VLOOKUP(AH618,'Hess and Brezowsky'!$B$2:$G$31,2,FALSE)</f>
        <v>Undefined</v>
      </c>
      <c r="AJ618" s="18" t="str">
        <f>VLOOKUP(AH618,'Hess and Brezowsky'!$B$2:$G$31,3,FALSE)</f>
        <v>M</v>
      </c>
      <c r="AK618" s="13" t="str">
        <f>VLOOKUP(AH618,'Hess and Brezowsky'!$B$2:$G$31,4,FALSE)</f>
        <v>Transistion / Undefined</v>
      </c>
      <c r="AL618" s="29">
        <v>0.29155092592592591</v>
      </c>
      <c r="AM618" s="29">
        <v>0.5042592592592593</v>
      </c>
      <c r="AN618" s="30">
        <v>0.71696759259259257</v>
      </c>
    </row>
    <row r="619" spans="1:40" ht="15.75" customHeight="1" x14ac:dyDescent="0.2">
      <c r="A619" s="27">
        <v>45339</v>
      </c>
      <c r="B619" s="13">
        <v>2024</v>
      </c>
      <c r="C619" s="13">
        <v>48</v>
      </c>
      <c r="D619" s="13">
        <f t="shared" si="26"/>
        <v>7</v>
      </c>
      <c r="E619" s="13"/>
      <c r="F619" s="13">
        <f t="shared" si="25"/>
        <v>4</v>
      </c>
      <c r="G619" s="14">
        <v>0</v>
      </c>
      <c r="H619" s="14">
        <v>1</v>
      </c>
      <c r="I619" s="14">
        <v>1</v>
      </c>
      <c r="J619" s="14">
        <v>0</v>
      </c>
      <c r="K619" s="14">
        <v>1</v>
      </c>
      <c r="L619" s="14">
        <v>1</v>
      </c>
      <c r="M619" s="15">
        <v>238.22499999999999</v>
      </c>
      <c r="N619" s="16" t="str">
        <f t="shared" si="28"/>
        <v>SW</v>
      </c>
      <c r="O619" s="17">
        <v>4.0999999999999996</v>
      </c>
      <c r="P619" s="16" t="s">
        <v>137</v>
      </c>
      <c r="Q619" s="18">
        <v>0</v>
      </c>
      <c r="R619" s="19">
        <v>11.7</v>
      </c>
      <c r="S619" s="19">
        <v>8.6</v>
      </c>
      <c r="T619" s="19">
        <v>15.7</v>
      </c>
      <c r="U619" s="20">
        <v>252.64</v>
      </c>
      <c r="V619" s="16" t="s">
        <v>16</v>
      </c>
      <c r="W619" s="21">
        <v>0</v>
      </c>
      <c r="X619" s="21">
        <v>0</v>
      </c>
      <c r="Y619" s="21">
        <v>0</v>
      </c>
      <c r="Z619" s="21">
        <v>0</v>
      </c>
      <c r="AA619" s="21">
        <v>0.25</v>
      </c>
      <c r="AB619" s="21">
        <v>0.38</v>
      </c>
      <c r="AC619" s="21">
        <v>0.04</v>
      </c>
      <c r="AD619" s="21">
        <v>0.33</v>
      </c>
      <c r="AE619" s="21">
        <v>3.39</v>
      </c>
      <c r="AF619" s="21">
        <v>2.33</v>
      </c>
      <c r="AG619" s="21">
        <v>7.2</v>
      </c>
      <c r="AH619" s="18" t="s">
        <v>44</v>
      </c>
      <c r="AI619" s="13" t="str">
        <f>VLOOKUP(AH619,'Hess and Brezowsky'!$B$2:$G$31,2,FALSE)</f>
        <v>Mixed</v>
      </c>
      <c r="AJ619" s="18" t="str">
        <f>VLOOKUP(AH619,'Hess and Brezowsky'!$B$2:$G$31,3,FALSE)</f>
        <v>A</v>
      </c>
      <c r="AK619" s="13" t="str">
        <f>VLOOKUP(AH619,'Hess and Brezowsky'!$B$2:$G$31,4,FALSE)</f>
        <v>Anticyclonic North-Westerly</v>
      </c>
      <c r="AL619" s="29">
        <v>0.29033564814814816</v>
      </c>
      <c r="AM619" s="29">
        <v>0.50422453703703707</v>
      </c>
      <c r="AN619" s="30">
        <v>0.71811342592592597</v>
      </c>
    </row>
    <row r="620" spans="1:40" ht="15.75" customHeight="1" x14ac:dyDescent="0.2">
      <c r="A620" s="27">
        <v>45340</v>
      </c>
      <c r="B620" s="13">
        <v>2024</v>
      </c>
      <c r="C620" s="13">
        <v>49</v>
      </c>
      <c r="D620" s="13">
        <f t="shared" si="26"/>
        <v>1</v>
      </c>
      <c r="E620" s="13"/>
      <c r="F620" s="13">
        <f t="shared" si="25"/>
        <v>4</v>
      </c>
      <c r="G620" s="14">
        <v>0</v>
      </c>
      <c r="H620" s="14">
        <v>1</v>
      </c>
      <c r="I620" s="14">
        <v>1</v>
      </c>
      <c r="J620" s="14">
        <v>0</v>
      </c>
      <c r="K620" s="14">
        <v>1</v>
      </c>
      <c r="L620" s="14">
        <v>1</v>
      </c>
      <c r="M620" s="15">
        <v>238.71899999999999</v>
      </c>
      <c r="N620" s="16" t="str">
        <f t="shared" si="28"/>
        <v>SW</v>
      </c>
      <c r="O620" s="17">
        <v>9.6999999999999993</v>
      </c>
      <c r="P620" s="16" t="s">
        <v>140</v>
      </c>
      <c r="Q620" s="18">
        <v>3.4</v>
      </c>
      <c r="R620" s="19">
        <v>9.7200000000000006</v>
      </c>
      <c r="S620" s="19">
        <v>7.2</v>
      </c>
      <c r="T620" s="19">
        <v>12.2</v>
      </c>
      <c r="U620" s="20">
        <v>243.13</v>
      </c>
      <c r="V620" s="16" t="s">
        <v>5</v>
      </c>
      <c r="W620" s="21">
        <v>0</v>
      </c>
      <c r="X620" s="21">
        <v>0</v>
      </c>
      <c r="Y620" s="21">
        <v>0</v>
      </c>
      <c r="Z620" s="21">
        <v>0</v>
      </c>
      <c r="AA620" s="21">
        <v>0.08</v>
      </c>
      <c r="AB620" s="21">
        <v>0.57999999999999996</v>
      </c>
      <c r="AC620" s="21">
        <v>0.33</v>
      </c>
      <c r="AD620" s="21">
        <v>0</v>
      </c>
      <c r="AE620" s="21">
        <v>9.7100000000000009</v>
      </c>
      <c r="AF620" s="21">
        <v>8.25</v>
      </c>
      <c r="AG620" s="21">
        <v>13.5</v>
      </c>
      <c r="AH620" s="18" t="s">
        <v>44</v>
      </c>
      <c r="AI620" s="13" t="str">
        <f>VLOOKUP(AH620,'Hess and Brezowsky'!$B$2:$G$31,2,FALSE)</f>
        <v>Mixed</v>
      </c>
      <c r="AJ620" s="18" t="str">
        <f>VLOOKUP(AH620,'Hess and Brezowsky'!$B$2:$G$31,3,FALSE)</f>
        <v>A</v>
      </c>
      <c r="AK620" s="13" t="str">
        <f>VLOOKUP(AH620,'Hess and Brezowsky'!$B$2:$G$31,4,FALSE)</f>
        <v>Anticyclonic North-Westerly</v>
      </c>
      <c r="AL620" s="29">
        <v>0.28910879629629632</v>
      </c>
      <c r="AM620" s="29">
        <v>0.50418981481481484</v>
      </c>
      <c r="AN620" s="30">
        <v>0.71925925925925926</v>
      </c>
    </row>
    <row r="621" spans="1:40" ht="15.75" customHeight="1" x14ac:dyDescent="0.2">
      <c r="A621" s="27">
        <v>45341</v>
      </c>
      <c r="B621" s="13">
        <v>2024</v>
      </c>
      <c r="C621" s="13">
        <v>50</v>
      </c>
      <c r="D621" s="13">
        <f t="shared" si="26"/>
        <v>2</v>
      </c>
      <c r="E621" s="13"/>
      <c r="F621" s="13">
        <f t="shared" si="25"/>
        <v>4</v>
      </c>
      <c r="G621" s="14">
        <v>0</v>
      </c>
      <c r="H621" s="14">
        <v>1</v>
      </c>
      <c r="I621" s="14">
        <v>1</v>
      </c>
      <c r="J621" s="14">
        <v>0</v>
      </c>
      <c r="K621" s="14">
        <v>1</v>
      </c>
      <c r="L621" s="14">
        <v>1</v>
      </c>
      <c r="M621" s="15">
        <v>287.74400000000003</v>
      </c>
      <c r="N621" s="16" t="str">
        <f t="shared" si="28"/>
        <v>W</v>
      </c>
      <c r="O621" s="17">
        <v>7.3</v>
      </c>
      <c r="P621" s="16" t="s">
        <v>137</v>
      </c>
      <c r="Q621" s="18">
        <v>0.2</v>
      </c>
      <c r="R621" s="19">
        <v>10.82</v>
      </c>
      <c r="S621" s="19">
        <v>8.6</v>
      </c>
      <c r="T621" s="19">
        <v>11.8</v>
      </c>
      <c r="U621" s="20">
        <v>283.29000000000002</v>
      </c>
      <c r="V621" s="16" t="s">
        <v>16</v>
      </c>
      <c r="W621" s="21">
        <v>0</v>
      </c>
      <c r="X621" s="21">
        <v>0</v>
      </c>
      <c r="Y621" s="21">
        <v>0</v>
      </c>
      <c r="Z621" s="21">
        <v>0</v>
      </c>
      <c r="AA621" s="21">
        <v>0</v>
      </c>
      <c r="AB621" s="21">
        <v>0</v>
      </c>
      <c r="AC621" s="21">
        <v>0.71</v>
      </c>
      <c r="AD621" s="21">
        <v>0.28999999999999998</v>
      </c>
      <c r="AE621" s="21">
        <v>8.84</v>
      </c>
      <c r="AF621" s="21">
        <v>8.56</v>
      </c>
      <c r="AG621" s="21">
        <v>12</v>
      </c>
      <c r="AH621" s="18" t="s">
        <v>44</v>
      </c>
      <c r="AI621" s="13" t="str">
        <f>VLOOKUP(AH621,'Hess and Brezowsky'!$B$2:$G$31,2,FALSE)</f>
        <v>Mixed</v>
      </c>
      <c r="AJ621" s="18" t="str">
        <f>VLOOKUP(AH621,'Hess and Brezowsky'!$B$2:$G$31,3,FALSE)</f>
        <v>A</v>
      </c>
      <c r="AK621" s="13" t="str">
        <f>VLOOKUP(AH621,'Hess and Brezowsky'!$B$2:$G$31,4,FALSE)</f>
        <v>Anticyclonic North-Westerly</v>
      </c>
      <c r="AL621" s="29">
        <v>0.28785879629629629</v>
      </c>
      <c r="AM621" s="29">
        <v>0.50413194444444442</v>
      </c>
      <c r="AN621" s="30">
        <v>0.72040509259259256</v>
      </c>
    </row>
    <row r="622" spans="1:40" ht="15.75" customHeight="1" x14ac:dyDescent="0.2">
      <c r="A622" s="27">
        <v>45342</v>
      </c>
      <c r="B622" s="13">
        <v>2024</v>
      </c>
      <c r="C622" s="13">
        <v>51</v>
      </c>
      <c r="D622" s="13">
        <f t="shared" si="26"/>
        <v>3</v>
      </c>
      <c r="E622" s="13"/>
      <c r="F622" s="13">
        <f t="shared" si="25"/>
        <v>4</v>
      </c>
      <c r="G622" s="14">
        <v>0</v>
      </c>
      <c r="H622" s="14">
        <v>1</v>
      </c>
      <c r="I622" s="14">
        <v>0.62</v>
      </c>
      <c r="J622" s="14">
        <v>0</v>
      </c>
      <c r="K622" s="14">
        <v>1</v>
      </c>
      <c r="L622" s="14">
        <v>1</v>
      </c>
      <c r="M622" s="15">
        <v>245.52799999999999</v>
      </c>
      <c r="N622" s="16" t="str">
        <f t="shared" si="28"/>
        <v>SW</v>
      </c>
      <c r="O622" s="17">
        <v>5.5</v>
      </c>
      <c r="P622" s="16" t="s">
        <v>140</v>
      </c>
      <c r="Q622" s="18">
        <v>0</v>
      </c>
      <c r="R622" s="19">
        <v>8.56</v>
      </c>
      <c r="S622" s="19">
        <v>7.3</v>
      </c>
      <c r="T622" s="19">
        <v>10.5</v>
      </c>
      <c r="U622" s="20">
        <v>250.19</v>
      </c>
      <c r="V622" s="16" t="s">
        <v>16</v>
      </c>
      <c r="W622" s="21">
        <v>0</v>
      </c>
      <c r="X622" s="21">
        <v>0</v>
      </c>
      <c r="Y622" s="21">
        <v>0</v>
      </c>
      <c r="Z622" s="21">
        <v>0</v>
      </c>
      <c r="AA622" s="21">
        <v>0.04</v>
      </c>
      <c r="AB622" s="21">
        <v>0.62</v>
      </c>
      <c r="AC622" s="21">
        <v>0.12</v>
      </c>
      <c r="AD622" s="21">
        <v>0.21</v>
      </c>
      <c r="AE622" s="21">
        <v>5.36</v>
      </c>
      <c r="AF622" s="21">
        <v>4.13</v>
      </c>
      <c r="AG622" s="21">
        <v>10.1</v>
      </c>
      <c r="AH622" s="18" t="s">
        <v>44</v>
      </c>
      <c r="AI622" s="13" t="str">
        <f>VLOOKUP(AH622,'Hess and Brezowsky'!$B$2:$G$31,2,FALSE)</f>
        <v>Mixed</v>
      </c>
      <c r="AJ622" s="18" t="str">
        <f>VLOOKUP(AH622,'Hess and Brezowsky'!$B$2:$G$31,3,FALSE)</f>
        <v>A</v>
      </c>
      <c r="AK622" s="13" t="str">
        <f>VLOOKUP(AH622,'Hess and Brezowsky'!$B$2:$G$31,4,FALSE)</f>
        <v>Anticyclonic North-Westerly</v>
      </c>
      <c r="AL622" s="29">
        <v>0.28660879629629632</v>
      </c>
      <c r="AM622" s="29">
        <v>0.50407407407407412</v>
      </c>
      <c r="AN622" s="30">
        <v>0.72153935185185181</v>
      </c>
    </row>
    <row r="623" spans="1:40" ht="15.75" customHeight="1" x14ac:dyDescent="0.2">
      <c r="A623" s="27">
        <v>45343</v>
      </c>
      <c r="B623" s="13">
        <v>2024</v>
      </c>
      <c r="C623" s="13">
        <v>52</v>
      </c>
      <c r="D623" s="13">
        <f t="shared" si="26"/>
        <v>4</v>
      </c>
      <c r="E623" s="13"/>
      <c r="F623" s="13">
        <f t="shared" si="25"/>
        <v>4</v>
      </c>
      <c r="G623" s="14">
        <v>0</v>
      </c>
      <c r="H623" s="14">
        <v>1</v>
      </c>
      <c r="I623" s="14">
        <v>1</v>
      </c>
      <c r="J623" s="14">
        <v>0</v>
      </c>
      <c r="K623" s="14">
        <v>1</v>
      </c>
      <c r="L623" s="14">
        <v>1</v>
      </c>
      <c r="M623" s="15">
        <v>211.48699999999999</v>
      </c>
      <c r="N623" s="16" t="str">
        <f t="shared" si="28"/>
        <v>SW</v>
      </c>
      <c r="O623" s="17">
        <v>11.3</v>
      </c>
      <c r="P623" s="16" t="s">
        <v>140</v>
      </c>
      <c r="Q623" s="18">
        <v>11.1</v>
      </c>
      <c r="R623" s="19">
        <v>8.86</v>
      </c>
      <c r="S623" s="19">
        <v>6.6</v>
      </c>
      <c r="T623" s="19">
        <v>11.4</v>
      </c>
      <c r="U623" s="20">
        <v>208.39</v>
      </c>
      <c r="V623" s="16" t="s">
        <v>5</v>
      </c>
      <c r="W623" s="21">
        <v>0</v>
      </c>
      <c r="X623" s="21">
        <v>0</v>
      </c>
      <c r="Y623" s="21">
        <v>0</v>
      </c>
      <c r="Z623" s="21">
        <v>0</v>
      </c>
      <c r="AA623" s="21">
        <v>0.33</v>
      </c>
      <c r="AB623" s="21">
        <v>0.67</v>
      </c>
      <c r="AC623" s="21">
        <v>0</v>
      </c>
      <c r="AD623" s="21">
        <v>0</v>
      </c>
      <c r="AE623" s="21">
        <v>10.91</v>
      </c>
      <c r="AF623" s="21">
        <v>10.75</v>
      </c>
      <c r="AG623" s="21">
        <v>16.600000000000001</v>
      </c>
      <c r="AH623" s="18" t="s">
        <v>12</v>
      </c>
      <c r="AI623" s="13" t="str">
        <f>VLOOKUP(AH623,'Hess and Brezowsky'!$B$2:$G$31,2,FALSE)</f>
        <v>Undefined</v>
      </c>
      <c r="AJ623" s="18" t="str">
        <f>VLOOKUP(AH623,'Hess and Brezowsky'!$B$2:$G$31,3,FALSE)</f>
        <v>M</v>
      </c>
      <c r="AK623" s="13" t="str">
        <f>VLOOKUP(AH623,'Hess and Brezowsky'!$B$2:$G$31,4,FALSE)</f>
        <v>Transistion / Undefined</v>
      </c>
      <c r="AL623" s="29">
        <v>0.28533564814814816</v>
      </c>
      <c r="AM623" s="29">
        <v>0.50400462962962966</v>
      </c>
      <c r="AN623" s="30">
        <v>0.72267361111111106</v>
      </c>
    </row>
    <row r="624" spans="1:40" ht="15.75" customHeight="1" x14ac:dyDescent="0.2">
      <c r="A624" s="27">
        <v>45344</v>
      </c>
      <c r="B624" s="13">
        <v>2024</v>
      </c>
      <c r="C624" s="13">
        <v>53</v>
      </c>
      <c r="D624" s="13">
        <f t="shared" si="26"/>
        <v>5</v>
      </c>
      <c r="E624" s="13"/>
      <c r="F624" s="13">
        <f t="shared" si="25"/>
        <v>4</v>
      </c>
      <c r="G624" s="14">
        <v>0</v>
      </c>
      <c r="H624" s="14">
        <v>1</v>
      </c>
      <c r="I624" s="14">
        <v>1</v>
      </c>
      <c r="J624" s="14">
        <v>0</v>
      </c>
      <c r="K624" s="14">
        <v>1</v>
      </c>
      <c r="L624" s="14">
        <v>1</v>
      </c>
      <c r="M624" s="15">
        <v>227.54900000000001</v>
      </c>
      <c r="N624" s="16" t="str">
        <f t="shared" si="28"/>
        <v>SW</v>
      </c>
      <c r="O624" s="17">
        <v>13.8</v>
      </c>
      <c r="P624" s="16" t="s">
        <v>137</v>
      </c>
      <c r="Q624" s="18">
        <v>13.3</v>
      </c>
      <c r="R624" s="19">
        <v>10.65</v>
      </c>
      <c r="S624" s="19">
        <v>5.4</v>
      </c>
      <c r="T624" s="19">
        <v>13.4</v>
      </c>
      <c r="U624" s="20">
        <v>226.47</v>
      </c>
      <c r="V624" s="16" t="s">
        <v>5</v>
      </c>
      <c r="W624" s="21">
        <v>0</v>
      </c>
      <c r="X624" s="21">
        <v>0</v>
      </c>
      <c r="Y624" s="21">
        <v>0</v>
      </c>
      <c r="Z624" s="21">
        <v>0</v>
      </c>
      <c r="AA624" s="21">
        <v>0.17</v>
      </c>
      <c r="AB624" s="21">
        <v>0.57999999999999996</v>
      </c>
      <c r="AC624" s="21">
        <v>0.25</v>
      </c>
      <c r="AD624" s="21">
        <v>0</v>
      </c>
      <c r="AE624" s="21">
        <v>14.14</v>
      </c>
      <c r="AF624" s="21">
        <v>13.03</v>
      </c>
      <c r="AG624" s="21">
        <v>27.3</v>
      </c>
      <c r="AH624" s="18" t="s">
        <v>33</v>
      </c>
      <c r="AI624" s="13" t="str">
        <f>VLOOKUP(AH624,'Hess and Brezowsky'!$B$2:$G$31,2,FALSE)</f>
        <v>Mixed</v>
      </c>
      <c r="AJ624" s="18" t="str">
        <f>VLOOKUP(AH624,'Hess and Brezowsky'!$B$2:$G$31,3,FALSE)</f>
        <v>C</v>
      </c>
      <c r="AK624" s="13" t="str">
        <f>VLOOKUP(AH624,'Hess and Brezowsky'!$B$2:$G$31,4,FALSE)</f>
        <v>Cyclonic South-Westerly</v>
      </c>
      <c r="AL624" s="29">
        <v>0.2840509259259259</v>
      </c>
      <c r="AM624" s="29">
        <v>0.50392361111111106</v>
      </c>
      <c r="AN624" s="30">
        <v>0.72379629629629627</v>
      </c>
    </row>
    <row r="625" spans="1:40" ht="15.75" customHeight="1" x14ac:dyDescent="0.2">
      <c r="A625" s="27">
        <v>45345</v>
      </c>
      <c r="B625" s="13">
        <v>2024</v>
      </c>
      <c r="C625" s="13">
        <v>54</v>
      </c>
      <c r="D625" s="13">
        <f t="shared" si="26"/>
        <v>6</v>
      </c>
      <c r="E625" s="13"/>
      <c r="F625" s="13">
        <f t="shared" si="25"/>
        <v>4</v>
      </c>
      <c r="G625" s="14">
        <v>0</v>
      </c>
      <c r="H625" s="14">
        <v>1</v>
      </c>
      <c r="I625" s="14">
        <v>1</v>
      </c>
      <c r="J625" s="14">
        <v>0</v>
      </c>
      <c r="K625" s="14">
        <v>1</v>
      </c>
      <c r="L625" s="14">
        <v>1</v>
      </c>
      <c r="M625" s="15">
        <v>217.04900000000001</v>
      </c>
      <c r="N625" s="16" t="str">
        <f t="shared" si="28"/>
        <v>SW</v>
      </c>
      <c r="O625" s="17">
        <v>9.6999999999999993</v>
      </c>
      <c r="P625" s="16" t="s">
        <v>137</v>
      </c>
      <c r="Q625" s="18">
        <v>0.6</v>
      </c>
      <c r="R625" s="19">
        <v>6.22</v>
      </c>
      <c r="S625" s="19">
        <v>4.5</v>
      </c>
      <c r="T625" s="19">
        <v>9.8000000000000007</v>
      </c>
      <c r="U625" s="20">
        <v>212.6</v>
      </c>
      <c r="V625" s="16" t="s">
        <v>5</v>
      </c>
      <c r="W625" s="21">
        <v>0</v>
      </c>
      <c r="X625" s="21">
        <v>0</v>
      </c>
      <c r="Y625" s="21">
        <v>0</v>
      </c>
      <c r="Z625" s="21">
        <v>0</v>
      </c>
      <c r="AA625" s="21">
        <v>0</v>
      </c>
      <c r="AB625" s="21">
        <v>1</v>
      </c>
      <c r="AC625" s="21">
        <v>0</v>
      </c>
      <c r="AD625" s="21">
        <v>0</v>
      </c>
      <c r="AE625" s="21">
        <v>8.25</v>
      </c>
      <c r="AF625" s="21">
        <v>8.2100000000000009</v>
      </c>
      <c r="AG625" s="21">
        <v>11.5</v>
      </c>
      <c r="AH625" s="18" t="s">
        <v>33</v>
      </c>
      <c r="AI625" s="13" t="str">
        <f>VLOOKUP(AH625,'Hess and Brezowsky'!$B$2:$G$31,2,FALSE)</f>
        <v>Mixed</v>
      </c>
      <c r="AJ625" s="18" t="str">
        <f>VLOOKUP(AH625,'Hess and Brezowsky'!$B$2:$G$31,3,FALSE)</f>
        <v>C</v>
      </c>
      <c r="AK625" s="13" t="str">
        <f>VLOOKUP(AH625,'Hess and Brezowsky'!$B$2:$G$31,4,FALSE)</f>
        <v>Cyclonic South-Westerly</v>
      </c>
      <c r="AL625" s="29">
        <v>0.28274305555555557</v>
      </c>
      <c r="AM625" s="29">
        <v>0.50384259259259256</v>
      </c>
      <c r="AN625" s="30">
        <v>0.72493055555555552</v>
      </c>
    </row>
    <row r="626" spans="1:40" ht="15.75" customHeight="1" x14ac:dyDescent="0.2">
      <c r="A626" s="27">
        <v>45346</v>
      </c>
      <c r="B626" s="13">
        <v>2024</v>
      </c>
      <c r="C626" s="13">
        <v>55</v>
      </c>
      <c r="D626" s="13">
        <f t="shared" si="26"/>
        <v>7</v>
      </c>
      <c r="E626" s="13"/>
      <c r="F626" s="13">
        <f t="shared" si="25"/>
        <v>4</v>
      </c>
      <c r="G626" s="14">
        <v>0</v>
      </c>
      <c r="H626" s="14">
        <v>0.95</v>
      </c>
      <c r="I626" s="14">
        <v>1</v>
      </c>
      <c r="J626" s="14">
        <v>0</v>
      </c>
      <c r="K626" s="14">
        <v>1</v>
      </c>
      <c r="L626" s="14">
        <v>1</v>
      </c>
      <c r="M626" s="15">
        <v>216.43899999999999</v>
      </c>
      <c r="N626" s="16" t="str">
        <f t="shared" si="28"/>
        <v>SW</v>
      </c>
      <c r="O626" s="17">
        <v>9</v>
      </c>
      <c r="P626" s="16" t="s">
        <v>137</v>
      </c>
      <c r="Q626" s="18">
        <v>5.2</v>
      </c>
      <c r="R626" s="19">
        <v>5.78</v>
      </c>
      <c r="S626" s="19">
        <v>3.4</v>
      </c>
      <c r="T626" s="19">
        <v>9.3000000000000007</v>
      </c>
      <c r="U626" s="20">
        <v>212.85</v>
      </c>
      <c r="V626" s="16" t="s">
        <v>5</v>
      </c>
      <c r="W626" s="21">
        <v>0</v>
      </c>
      <c r="X626" s="21">
        <v>0</v>
      </c>
      <c r="Y626" s="21">
        <v>0</v>
      </c>
      <c r="Z626" s="21">
        <v>0</v>
      </c>
      <c r="AA626" s="21">
        <v>0.28999999999999998</v>
      </c>
      <c r="AB626" s="21">
        <v>0.71</v>
      </c>
      <c r="AC626" s="21">
        <v>0</v>
      </c>
      <c r="AD626" s="21">
        <v>0</v>
      </c>
      <c r="AE626" s="21">
        <v>8.48</v>
      </c>
      <c r="AF626" s="21">
        <v>8.26</v>
      </c>
      <c r="AG626" s="21">
        <v>14.4</v>
      </c>
      <c r="AH626" s="18" t="s">
        <v>33</v>
      </c>
      <c r="AI626" s="13" t="str">
        <f>VLOOKUP(AH626,'Hess and Brezowsky'!$B$2:$G$31,2,FALSE)</f>
        <v>Mixed</v>
      </c>
      <c r="AJ626" s="18" t="str">
        <f>VLOOKUP(AH626,'Hess and Brezowsky'!$B$2:$G$31,3,FALSE)</f>
        <v>C</v>
      </c>
      <c r="AK626" s="13" t="str">
        <f>VLOOKUP(AH626,'Hess and Brezowsky'!$B$2:$G$31,4,FALSE)</f>
        <v>Cyclonic South-Westerly</v>
      </c>
      <c r="AL626" s="29">
        <v>0.28143518518518518</v>
      </c>
      <c r="AM626" s="29">
        <v>0.50373842592592588</v>
      </c>
      <c r="AN626" s="30">
        <v>0.72605324074074074</v>
      </c>
    </row>
    <row r="627" spans="1:40" ht="15.75" customHeight="1" x14ac:dyDescent="0.2">
      <c r="A627" s="27">
        <v>45347</v>
      </c>
      <c r="B627" s="13">
        <v>2024</v>
      </c>
      <c r="C627" s="13">
        <v>56</v>
      </c>
      <c r="D627" s="13">
        <f t="shared" si="26"/>
        <v>1</v>
      </c>
      <c r="E627" s="13"/>
      <c r="F627" s="13">
        <f t="shared" si="25"/>
        <v>4</v>
      </c>
      <c r="G627" s="14">
        <v>0</v>
      </c>
      <c r="H627" s="14">
        <v>1</v>
      </c>
      <c r="I627" s="14">
        <v>1</v>
      </c>
      <c r="J627" s="14">
        <v>0</v>
      </c>
      <c r="K627" s="14">
        <v>1</v>
      </c>
      <c r="L627" s="14">
        <v>1</v>
      </c>
      <c r="M627" s="15">
        <v>167.94300000000001</v>
      </c>
      <c r="N627" s="16" t="str">
        <f t="shared" si="28"/>
        <v>S</v>
      </c>
      <c r="O627" s="17">
        <v>8.8000000000000007</v>
      </c>
      <c r="P627" s="16" t="s">
        <v>140</v>
      </c>
      <c r="Q627" s="18">
        <v>5.6</v>
      </c>
      <c r="R627" s="19">
        <v>7.04</v>
      </c>
      <c r="S627" s="19">
        <v>5</v>
      </c>
      <c r="T627" s="19">
        <v>9</v>
      </c>
      <c r="U627" s="20">
        <v>165.43</v>
      </c>
      <c r="V627" s="16" t="s">
        <v>13</v>
      </c>
      <c r="W627" s="21">
        <v>0</v>
      </c>
      <c r="X627" s="21">
        <v>0</v>
      </c>
      <c r="Y627" s="21">
        <v>0</v>
      </c>
      <c r="Z627" s="21">
        <v>0.42</v>
      </c>
      <c r="AA627" s="21">
        <v>0.46</v>
      </c>
      <c r="AB627" s="21">
        <v>0.12</v>
      </c>
      <c r="AC627" s="21">
        <v>0</v>
      </c>
      <c r="AD627" s="21">
        <v>0</v>
      </c>
      <c r="AE627" s="21">
        <v>10.46</v>
      </c>
      <c r="AF627" s="21">
        <v>9.31</v>
      </c>
      <c r="AG627" s="21">
        <v>16</v>
      </c>
      <c r="AH627" s="18" t="s">
        <v>12</v>
      </c>
      <c r="AI627" s="13" t="str">
        <f>VLOOKUP(AH627,'Hess and Brezowsky'!$B$2:$G$31,2,FALSE)</f>
        <v>Undefined</v>
      </c>
      <c r="AJ627" s="18" t="str">
        <f>VLOOKUP(AH627,'Hess and Brezowsky'!$B$2:$G$31,3,FALSE)</f>
        <v>M</v>
      </c>
      <c r="AK627" s="13" t="str">
        <f>VLOOKUP(AH627,'Hess and Brezowsky'!$B$2:$G$31,4,FALSE)</f>
        <v>Transistion / Undefined</v>
      </c>
      <c r="AL627" s="29">
        <v>0.28011574074074075</v>
      </c>
      <c r="AM627" s="29">
        <v>0.50364583333333335</v>
      </c>
      <c r="AN627" s="30">
        <v>0.7271643518518518</v>
      </c>
    </row>
    <row r="628" spans="1:40" ht="15.75" customHeight="1" x14ac:dyDescent="0.2">
      <c r="A628" s="27">
        <v>45348</v>
      </c>
      <c r="B628" s="13">
        <v>2024</v>
      </c>
      <c r="C628" s="13">
        <v>57</v>
      </c>
      <c r="D628" s="13">
        <f t="shared" si="26"/>
        <v>2</v>
      </c>
      <c r="E628" s="13"/>
      <c r="F628" s="13">
        <f t="shared" si="25"/>
        <v>4</v>
      </c>
      <c r="G628" s="14">
        <v>0</v>
      </c>
      <c r="H628" s="14">
        <v>1</v>
      </c>
      <c r="I628" s="14">
        <v>1</v>
      </c>
      <c r="J628" s="14">
        <v>0</v>
      </c>
      <c r="K628" s="14">
        <v>1</v>
      </c>
      <c r="L628" s="14">
        <v>1</v>
      </c>
      <c r="M628" s="15">
        <v>33.195</v>
      </c>
      <c r="N628" s="16" t="str">
        <f t="shared" si="28"/>
        <v>NE</v>
      </c>
      <c r="O628" s="17">
        <v>9.1</v>
      </c>
      <c r="P628" s="16" t="s">
        <v>140</v>
      </c>
      <c r="Q628" s="18">
        <v>8.8000000000000007</v>
      </c>
      <c r="R628" s="19">
        <v>7.81</v>
      </c>
      <c r="S628" s="19">
        <v>5.9</v>
      </c>
      <c r="T628" s="19">
        <v>10.199999999999999</v>
      </c>
      <c r="U628" s="20">
        <v>29.56</v>
      </c>
      <c r="V628" s="16" t="s">
        <v>10</v>
      </c>
      <c r="W628" s="21">
        <v>0.5</v>
      </c>
      <c r="X628" s="21">
        <v>0.08</v>
      </c>
      <c r="Y628" s="21">
        <v>0.12</v>
      </c>
      <c r="Z628" s="21">
        <v>0.04</v>
      </c>
      <c r="AA628" s="21">
        <v>0.25</v>
      </c>
      <c r="AB628" s="21">
        <v>0</v>
      </c>
      <c r="AC628" s="21">
        <v>0</v>
      </c>
      <c r="AD628" s="21">
        <v>0</v>
      </c>
      <c r="AE628" s="21">
        <v>9.76</v>
      </c>
      <c r="AF628" s="21">
        <v>5.9</v>
      </c>
      <c r="AG628" s="21">
        <v>16.399999999999999</v>
      </c>
      <c r="AH628" s="18" t="s">
        <v>12</v>
      </c>
      <c r="AI628" s="13" t="str">
        <f>VLOOKUP(AH628,'Hess and Brezowsky'!$B$2:$G$31,2,FALSE)</f>
        <v>Undefined</v>
      </c>
      <c r="AJ628" s="18" t="str">
        <f>VLOOKUP(AH628,'Hess and Brezowsky'!$B$2:$G$31,3,FALSE)</f>
        <v>M</v>
      </c>
      <c r="AK628" s="13" t="str">
        <f>VLOOKUP(AH628,'Hess and Brezowsky'!$B$2:$G$31,4,FALSE)</f>
        <v>Transistion / Undefined</v>
      </c>
      <c r="AL628" s="29">
        <v>0.27878472222222223</v>
      </c>
      <c r="AM628" s="29">
        <v>0.50353009259259263</v>
      </c>
      <c r="AN628" s="30">
        <v>0.72828703703703701</v>
      </c>
    </row>
    <row r="629" spans="1:40" ht="15.75" customHeight="1" x14ac:dyDescent="0.2">
      <c r="A629" s="27">
        <v>45349</v>
      </c>
      <c r="B629" s="13">
        <v>2024</v>
      </c>
      <c r="C629" s="13">
        <v>58</v>
      </c>
      <c r="D629" s="13">
        <f t="shared" si="26"/>
        <v>3</v>
      </c>
      <c r="E629" s="13"/>
      <c r="F629" s="13">
        <f t="shared" si="25"/>
        <v>4</v>
      </c>
      <c r="G629" s="14">
        <v>0</v>
      </c>
      <c r="H629" s="14">
        <v>1</v>
      </c>
      <c r="I629" s="14">
        <v>1</v>
      </c>
      <c r="J629" s="14">
        <v>0</v>
      </c>
      <c r="K629" s="14">
        <v>1</v>
      </c>
      <c r="L629" s="14">
        <v>1</v>
      </c>
      <c r="M629" s="15">
        <v>359.51299999999998</v>
      </c>
      <c r="N629" s="16" t="str">
        <f t="shared" si="28"/>
        <v>N</v>
      </c>
      <c r="O629" s="17">
        <v>8.9</v>
      </c>
      <c r="P629" s="16" t="s">
        <v>137</v>
      </c>
      <c r="Q629" s="18">
        <v>0</v>
      </c>
      <c r="R629" s="19">
        <v>6.73</v>
      </c>
      <c r="S629" s="19">
        <v>5.0999999999999996</v>
      </c>
      <c r="T629" s="19">
        <v>9.5</v>
      </c>
      <c r="U629" s="20">
        <v>352.9</v>
      </c>
      <c r="V629" s="16" t="s">
        <v>7</v>
      </c>
      <c r="W629" s="21">
        <v>0.75</v>
      </c>
      <c r="X629" s="21">
        <v>0</v>
      </c>
      <c r="Y629" s="21">
        <v>0</v>
      </c>
      <c r="Z629" s="21">
        <v>0</v>
      </c>
      <c r="AA629" s="21">
        <v>0</v>
      </c>
      <c r="AB629" s="21">
        <v>0</v>
      </c>
      <c r="AC629" s="21">
        <v>0</v>
      </c>
      <c r="AD629" s="21">
        <v>0.25</v>
      </c>
      <c r="AE629" s="21">
        <v>9.36</v>
      </c>
      <c r="AF629" s="21">
        <v>8.93</v>
      </c>
      <c r="AG629" s="21">
        <v>14.1</v>
      </c>
      <c r="AH629" s="18" t="s">
        <v>4</v>
      </c>
      <c r="AI629" s="13" t="str">
        <f>VLOOKUP(AH629,'Hess and Brezowsky'!$B$2:$G$31,2,FALSE)</f>
        <v>Mixed</v>
      </c>
      <c r="AJ629" s="18" t="str">
        <f>VLOOKUP(AH629,'Hess and Brezowsky'!$B$2:$G$31,3,FALSE)</f>
        <v>A</v>
      </c>
      <c r="AK629" s="13" t="str">
        <f>VLOOKUP(AH629,'Hess and Brezowsky'!$B$2:$G$31,4,FALSE)</f>
        <v>Zonal Ridge across Central Europe</v>
      </c>
      <c r="AL629" s="29">
        <v>0.27744212962962961</v>
      </c>
      <c r="AM629" s="29">
        <v>0.5034143518518519</v>
      </c>
      <c r="AN629" s="30">
        <v>0.72939814814814818</v>
      </c>
    </row>
    <row r="630" spans="1:40" ht="15.75" customHeight="1" x14ac:dyDescent="0.2">
      <c r="A630" s="27">
        <v>45350</v>
      </c>
      <c r="B630" s="13">
        <v>2024</v>
      </c>
      <c r="C630" s="13">
        <v>59</v>
      </c>
      <c r="D630" s="13">
        <f t="shared" si="26"/>
        <v>4</v>
      </c>
      <c r="E630" s="13"/>
      <c r="F630" s="13">
        <f t="shared" ref="F630:F635" si="29">IF(G630 &gt; 0.5,1,0)+IF(H630 &gt; 0.5,1,0)+IF(I630 &gt; 0.5,1,0)+IF(J630 &gt; 0.5,1,0)+IF(K630 &gt; 0.5,1,0)+IF(L631 &gt; 0.5,1,0)</f>
        <v>4</v>
      </c>
      <c r="G630" s="14">
        <v>0</v>
      </c>
      <c r="H630" s="14">
        <v>1</v>
      </c>
      <c r="I630" s="14">
        <v>1</v>
      </c>
      <c r="J630" s="14">
        <v>0</v>
      </c>
      <c r="K630" s="14">
        <v>1</v>
      </c>
      <c r="L630" s="14">
        <v>1</v>
      </c>
      <c r="M630" s="15">
        <v>241.02500000000001</v>
      </c>
      <c r="N630" s="16" t="str">
        <f t="shared" si="28"/>
        <v>SW</v>
      </c>
      <c r="O630" s="17">
        <v>5.5</v>
      </c>
      <c r="P630" s="16" t="s">
        <v>137</v>
      </c>
      <c r="Q630" s="18">
        <v>0</v>
      </c>
      <c r="R630" s="19">
        <v>7.13</v>
      </c>
      <c r="S630" s="19">
        <v>2.7</v>
      </c>
      <c r="T630" s="19">
        <v>11.2</v>
      </c>
      <c r="U630" s="20">
        <v>259.7</v>
      </c>
      <c r="V630" s="16" t="s">
        <v>16</v>
      </c>
      <c r="W630" s="21">
        <v>0.04</v>
      </c>
      <c r="X630" s="21">
        <v>0</v>
      </c>
      <c r="Y630" s="21">
        <v>0</v>
      </c>
      <c r="Z630" s="21">
        <v>0</v>
      </c>
      <c r="AA630" s="21">
        <v>0.12</v>
      </c>
      <c r="AB630" s="21">
        <v>0.5</v>
      </c>
      <c r="AC630" s="21">
        <v>0</v>
      </c>
      <c r="AD630" s="21">
        <v>0.33</v>
      </c>
      <c r="AE630" s="21">
        <v>4.7699999999999996</v>
      </c>
      <c r="AF630" s="21">
        <v>2.4</v>
      </c>
      <c r="AG630" s="21">
        <v>12</v>
      </c>
      <c r="AH630" s="18" t="s">
        <v>4</v>
      </c>
      <c r="AI630" s="13" t="str">
        <f>VLOOKUP(AH630,'Hess and Brezowsky'!$B$2:$G$31,2,FALSE)</f>
        <v>Mixed</v>
      </c>
      <c r="AJ630" s="18" t="str">
        <f>VLOOKUP(AH630,'Hess and Brezowsky'!$B$2:$G$31,3,FALSE)</f>
        <v>A</v>
      </c>
      <c r="AK630" s="13" t="str">
        <f>VLOOKUP(AH630,'Hess and Brezowsky'!$B$2:$G$31,4,FALSE)</f>
        <v>Zonal Ridge across Central Europe</v>
      </c>
      <c r="AL630" s="29">
        <v>0.27608796296296295</v>
      </c>
      <c r="AM630" s="29">
        <v>0.50329861111111107</v>
      </c>
      <c r="AN630" s="30">
        <v>0.73049768518518521</v>
      </c>
    </row>
    <row r="631" spans="1:40" ht="15.75" customHeight="1" x14ac:dyDescent="0.2">
      <c r="A631" s="27">
        <v>45351</v>
      </c>
      <c r="B631" s="13">
        <v>2024</v>
      </c>
      <c r="C631" s="13">
        <v>60</v>
      </c>
      <c r="D631" s="13">
        <f t="shared" si="26"/>
        <v>5</v>
      </c>
      <c r="E631" s="13"/>
      <c r="F631" s="13">
        <f t="shared" si="29"/>
        <v>3</v>
      </c>
      <c r="G631" s="14">
        <v>0</v>
      </c>
      <c r="H631" s="14">
        <v>0.45</v>
      </c>
      <c r="I631" s="14">
        <v>1</v>
      </c>
      <c r="J631" s="14">
        <v>0</v>
      </c>
      <c r="K631" s="14">
        <v>1</v>
      </c>
      <c r="L631" s="14">
        <v>1</v>
      </c>
      <c r="M631" s="15">
        <v>203.167</v>
      </c>
      <c r="N631" s="16" t="str">
        <f t="shared" si="28"/>
        <v>SW</v>
      </c>
      <c r="O631" s="17">
        <v>9</v>
      </c>
      <c r="P631" s="16" t="s">
        <v>140</v>
      </c>
      <c r="Q631" s="18">
        <v>4.2</v>
      </c>
      <c r="R631" s="19">
        <v>9.2100000000000009</v>
      </c>
      <c r="S631" s="19">
        <v>7</v>
      </c>
      <c r="T631" s="19">
        <v>10.7</v>
      </c>
      <c r="U631" s="20">
        <v>203.66</v>
      </c>
      <c r="V631" s="16" t="s">
        <v>5</v>
      </c>
      <c r="W631" s="21">
        <v>0</v>
      </c>
      <c r="X631" s="21">
        <v>0</v>
      </c>
      <c r="Y631" s="21">
        <v>0</v>
      </c>
      <c r="Z631" s="21">
        <v>0</v>
      </c>
      <c r="AA631" s="21">
        <v>0.75</v>
      </c>
      <c r="AB631" s="21">
        <v>0.17</v>
      </c>
      <c r="AC631" s="21">
        <v>0.08</v>
      </c>
      <c r="AD631" s="21">
        <v>0</v>
      </c>
      <c r="AE631" s="21">
        <v>9.6</v>
      </c>
      <c r="AF631" s="21">
        <v>8.44</v>
      </c>
      <c r="AG631" s="21">
        <v>15.4</v>
      </c>
      <c r="AH631" s="18" t="s">
        <v>4</v>
      </c>
      <c r="AI631" s="13" t="str">
        <f>VLOOKUP(AH631,'Hess and Brezowsky'!$B$2:$G$31,2,FALSE)</f>
        <v>Mixed</v>
      </c>
      <c r="AJ631" s="18" t="str">
        <f>VLOOKUP(AH631,'Hess and Brezowsky'!$B$2:$G$31,3,FALSE)</f>
        <v>A</v>
      </c>
      <c r="AK631" s="13" t="str">
        <f>VLOOKUP(AH631,'Hess and Brezowsky'!$B$2:$G$31,4,FALSE)</f>
        <v>Zonal Ridge across Central Europe</v>
      </c>
      <c r="AL631" s="29">
        <v>0.2747222222222222</v>
      </c>
      <c r="AM631" s="29">
        <v>0.50315972222222227</v>
      </c>
      <c r="AN631" s="30">
        <v>0.73160879629629627</v>
      </c>
    </row>
    <row r="632" spans="1:40" ht="15.75" customHeight="1" x14ac:dyDescent="0.2">
      <c r="A632" s="27">
        <v>45352</v>
      </c>
      <c r="B632" s="13">
        <v>2024</v>
      </c>
      <c r="C632" s="13">
        <v>61</v>
      </c>
      <c r="D632" s="13">
        <f t="shared" si="26"/>
        <v>6</v>
      </c>
      <c r="E632" s="13"/>
      <c r="F632" s="13">
        <f t="shared" si="29"/>
        <v>4</v>
      </c>
      <c r="G632" s="14">
        <v>0</v>
      </c>
      <c r="H632" s="14">
        <v>0.66</v>
      </c>
      <c r="I632" s="14">
        <v>0.75</v>
      </c>
      <c r="J632" s="14">
        <v>0</v>
      </c>
      <c r="K632" s="14">
        <v>1</v>
      </c>
      <c r="L632" s="14">
        <v>1</v>
      </c>
      <c r="M632" s="15">
        <v>203.21799999999999</v>
      </c>
      <c r="N632" s="16" t="str">
        <f t="shared" si="28"/>
        <v>SW</v>
      </c>
      <c r="O632" s="17">
        <v>10.7</v>
      </c>
      <c r="P632" s="16" t="s">
        <v>137</v>
      </c>
      <c r="Q632" s="23" t="e">
        <f>NA()</f>
        <v>#N/A</v>
      </c>
      <c r="R632" s="23" t="e">
        <f>NA()</f>
        <v>#N/A</v>
      </c>
      <c r="S632" s="23" t="e">
        <f>NA()</f>
        <v>#N/A</v>
      </c>
      <c r="T632" s="23" t="e">
        <f>NA()</f>
        <v>#N/A</v>
      </c>
      <c r="U632" s="20" t="e">
        <f>NA()</f>
        <v>#N/A</v>
      </c>
      <c r="V632" s="16" t="e">
        <f>NA()</f>
        <v>#N/A</v>
      </c>
      <c r="W632" s="21" t="e">
        <f>NA()</f>
        <v>#N/A</v>
      </c>
      <c r="X632" s="21" t="e">
        <f>NA()</f>
        <v>#N/A</v>
      </c>
      <c r="Y632" s="21" t="e">
        <f>NA()</f>
        <v>#N/A</v>
      </c>
      <c r="Z632" s="21" t="e">
        <f>NA()</f>
        <v>#N/A</v>
      </c>
      <c r="AA632" s="21" t="e">
        <f>NA()</f>
        <v>#N/A</v>
      </c>
      <c r="AB632" s="21" t="e">
        <f>NA()</f>
        <v>#N/A</v>
      </c>
      <c r="AC632" s="21" t="e">
        <f>NA()</f>
        <v>#N/A</v>
      </c>
      <c r="AD632" s="21" t="e">
        <f>NA()</f>
        <v>#N/A</v>
      </c>
      <c r="AE632" s="21" t="e">
        <f>NA()</f>
        <v>#N/A</v>
      </c>
      <c r="AF632" s="21" t="e">
        <f>NA()</f>
        <v>#N/A</v>
      </c>
      <c r="AG632" s="21" t="e">
        <f>NA()</f>
        <v>#N/A</v>
      </c>
      <c r="AH632" s="18" t="s">
        <v>15</v>
      </c>
      <c r="AI632" s="13" t="str">
        <f>VLOOKUP(AH632,'Hess and Brezowsky'!$B$2:$G$31,2,FALSE)</f>
        <v>Meridional</v>
      </c>
      <c r="AJ632" s="18" t="str">
        <f>VLOOKUP(AH632,'Hess and Brezowsky'!$B$2:$G$31,3,FALSE)</f>
        <v>C</v>
      </c>
      <c r="AK632" s="13" t="str">
        <f>VLOOKUP(AH632,'Hess and Brezowsky'!$B$2:$G$31,4,FALSE)</f>
        <v>Cyclonic Southerly</v>
      </c>
      <c r="AL632" s="29">
        <v>0.27334490740740741</v>
      </c>
      <c r="AM632" s="29">
        <v>0.5030324074074074</v>
      </c>
      <c r="AN632" s="30">
        <v>0.73270833333333329</v>
      </c>
    </row>
    <row r="633" spans="1:40" ht="15.75" customHeight="1" x14ac:dyDescent="0.2">
      <c r="A633" s="27">
        <v>45353</v>
      </c>
      <c r="B633" s="13">
        <v>2024</v>
      </c>
      <c r="C633" s="13">
        <v>62</v>
      </c>
      <c r="D633" s="13">
        <f t="shared" si="26"/>
        <v>7</v>
      </c>
      <c r="E633" s="13"/>
      <c r="F633" s="13">
        <f t="shared" si="29"/>
        <v>3</v>
      </c>
      <c r="G633" s="14">
        <v>0</v>
      </c>
      <c r="H633" s="14">
        <v>1</v>
      </c>
      <c r="I633" s="14">
        <v>0.5</v>
      </c>
      <c r="J633" s="14">
        <v>0</v>
      </c>
      <c r="K633" s="14">
        <v>1</v>
      </c>
      <c r="L633" s="14">
        <v>1</v>
      </c>
      <c r="M633" s="15">
        <v>198.30099999999999</v>
      </c>
      <c r="N633" s="16" t="str">
        <f t="shared" si="28"/>
        <v>S</v>
      </c>
      <c r="O633" s="17">
        <v>7.6</v>
      </c>
      <c r="P633" s="16" t="s">
        <v>137</v>
      </c>
      <c r="Q633" s="23" t="e">
        <f>NA()</f>
        <v>#N/A</v>
      </c>
      <c r="R633" s="23" t="e">
        <f>NA()</f>
        <v>#N/A</v>
      </c>
      <c r="S633" s="23" t="e">
        <f>NA()</f>
        <v>#N/A</v>
      </c>
      <c r="T633" s="23" t="e">
        <f>NA()</f>
        <v>#N/A</v>
      </c>
      <c r="U633" s="20" t="e">
        <f>NA()</f>
        <v>#N/A</v>
      </c>
      <c r="V633" s="16" t="e">
        <f>NA()</f>
        <v>#N/A</v>
      </c>
      <c r="W633" s="21" t="e">
        <f>NA()</f>
        <v>#N/A</v>
      </c>
      <c r="X633" s="21" t="e">
        <f>NA()</f>
        <v>#N/A</v>
      </c>
      <c r="Y633" s="21" t="e">
        <f>NA()</f>
        <v>#N/A</v>
      </c>
      <c r="Z633" s="21" t="e">
        <f>NA()</f>
        <v>#N/A</v>
      </c>
      <c r="AA633" s="21" t="e">
        <f>NA()</f>
        <v>#N/A</v>
      </c>
      <c r="AB633" s="21" t="e">
        <f>NA()</f>
        <v>#N/A</v>
      </c>
      <c r="AC633" s="21" t="e">
        <f>NA()</f>
        <v>#N/A</v>
      </c>
      <c r="AD633" s="21" t="e">
        <f>NA()</f>
        <v>#N/A</v>
      </c>
      <c r="AE633" s="21" t="e">
        <f>NA()</f>
        <v>#N/A</v>
      </c>
      <c r="AF633" s="21" t="e">
        <f>NA()</f>
        <v>#N/A</v>
      </c>
      <c r="AG633" s="21" t="e">
        <f>NA()</f>
        <v>#N/A</v>
      </c>
      <c r="AH633" s="18" t="s">
        <v>15</v>
      </c>
      <c r="AI633" s="13" t="str">
        <f>VLOOKUP(AH633,'Hess and Brezowsky'!$B$2:$G$31,2,FALSE)</f>
        <v>Meridional</v>
      </c>
      <c r="AJ633" s="18" t="str">
        <f>VLOOKUP(AH633,'Hess and Brezowsky'!$B$2:$G$31,3,FALSE)</f>
        <v>C</v>
      </c>
      <c r="AK633" s="13" t="str">
        <f>VLOOKUP(AH633,'Hess and Brezowsky'!$B$2:$G$31,4,FALSE)</f>
        <v>Cyclonic Southerly</v>
      </c>
      <c r="AL633" s="33"/>
      <c r="AM633" s="33"/>
      <c r="AN633" s="34"/>
    </row>
    <row r="634" spans="1:40" ht="15.75" customHeight="1" x14ac:dyDescent="0.2">
      <c r="A634" s="27">
        <v>45354</v>
      </c>
      <c r="B634" s="13">
        <v>2024</v>
      </c>
      <c r="C634" s="13">
        <v>63</v>
      </c>
      <c r="D634" s="13">
        <f t="shared" si="26"/>
        <v>1</v>
      </c>
      <c r="E634" s="13"/>
      <c r="F634" s="13">
        <f t="shared" si="29"/>
        <v>4</v>
      </c>
      <c r="G634" s="14">
        <v>0</v>
      </c>
      <c r="H634" s="14">
        <v>1</v>
      </c>
      <c r="I634" s="14">
        <v>1</v>
      </c>
      <c r="J634" s="14">
        <v>0</v>
      </c>
      <c r="K634" s="14">
        <v>1</v>
      </c>
      <c r="L634" s="14">
        <v>1</v>
      </c>
      <c r="M634" s="15">
        <v>319.95</v>
      </c>
      <c r="N634" s="16" t="str">
        <f t="shared" si="28"/>
        <v>NW</v>
      </c>
      <c r="O634" s="17">
        <v>5</v>
      </c>
      <c r="P634" s="16" t="s">
        <v>137</v>
      </c>
      <c r="Q634" s="23" t="e">
        <f>NA()</f>
        <v>#N/A</v>
      </c>
      <c r="R634" s="23" t="e">
        <f>NA()</f>
        <v>#N/A</v>
      </c>
      <c r="S634" s="23" t="e">
        <f>NA()</f>
        <v>#N/A</v>
      </c>
      <c r="T634" s="23" t="e">
        <f>NA()</f>
        <v>#N/A</v>
      </c>
      <c r="U634" s="20" t="e">
        <f>NA()</f>
        <v>#N/A</v>
      </c>
      <c r="V634" s="16" t="e">
        <f>NA()</f>
        <v>#N/A</v>
      </c>
      <c r="W634" s="21" t="e">
        <f>NA()</f>
        <v>#N/A</v>
      </c>
      <c r="X634" s="21" t="e">
        <f>NA()</f>
        <v>#N/A</v>
      </c>
      <c r="Y634" s="21" t="e">
        <f>NA()</f>
        <v>#N/A</v>
      </c>
      <c r="Z634" s="21" t="e">
        <f>NA()</f>
        <v>#N/A</v>
      </c>
      <c r="AA634" s="21" t="e">
        <f>NA()</f>
        <v>#N/A</v>
      </c>
      <c r="AB634" s="21" t="e">
        <f>NA()</f>
        <v>#N/A</v>
      </c>
      <c r="AC634" s="21" t="e">
        <f>NA()</f>
        <v>#N/A</v>
      </c>
      <c r="AD634" s="21" t="e">
        <f>NA()</f>
        <v>#N/A</v>
      </c>
      <c r="AE634" s="21" t="e">
        <f>NA()</f>
        <v>#N/A</v>
      </c>
      <c r="AF634" s="21" t="e">
        <f>NA()</f>
        <v>#N/A</v>
      </c>
      <c r="AG634" s="21" t="e">
        <f>NA()</f>
        <v>#N/A</v>
      </c>
      <c r="AH634" s="18" t="s">
        <v>15</v>
      </c>
      <c r="AI634" s="13" t="str">
        <f>VLOOKUP(AH634,'Hess and Brezowsky'!$B$2:$G$31,2,FALSE)</f>
        <v>Meridional</v>
      </c>
      <c r="AJ634" s="18" t="str">
        <f>VLOOKUP(AH634,'Hess and Brezowsky'!$B$2:$G$31,3,FALSE)</f>
        <v>C</v>
      </c>
      <c r="AK634" s="13" t="str">
        <f>VLOOKUP(AH634,'Hess and Brezowsky'!$B$2:$G$31,4,FALSE)</f>
        <v>Cyclonic Southerly</v>
      </c>
      <c r="AL634" s="33"/>
      <c r="AM634" s="33"/>
      <c r="AN634" s="34"/>
    </row>
    <row r="635" spans="1:40" ht="15.75" customHeight="1" x14ac:dyDescent="0.2">
      <c r="A635" s="27">
        <v>45355</v>
      </c>
      <c r="B635" s="13">
        <v>2024</v>
      </c>
      <c r="C635" s="13">
        <v>64</v>
      </c>
      <c r="D635" s="13">
        <f t="shared" si="26"/>
        <v>2</v>
      </c>
      <c r="E635" s="13"/>
      <c r="F635" s="13">
        <f>IF(G635 &gt; 0.5,1,0)+IF(H635 &gt; 0.5,1,0)+IF(I635 &gt; 0.5,1,0)+IF(J635 &gt; 0.5,1,0)+IF(K635 &gt; 0.5,1,0)+IF(L636 &gt; 0.5,1,0)</f>
        <v>4</v>
      </c>
      <c r="G635" s="14">
        <v>0</v>
      </c>
      <c r="H635" s="14">
        <v>0.66</v>
      </c>
      <c r="I635" s="14">
        <v>1</v>
      </c>
      <c r="J635" s="14">
        <v>0</v>
      </c>
      <c r="K635" s="14">
        <v>1</v>
      </c>
      <c r="L635" s="14">
        <v>1</v>
      </c>
      <c r="M635" s="15">
        <v>212.05199999999999</v>
      </c>
      <c r="N635" s="16" t="str">
        <f t="shared" si="28"/>
        <v>SW</v>
      </c>
      <c r="O635" s="17">
        <v>5.2</v>
      </c>
      <c r="P635" s="16" t="s">
        <v>138</v>
      </c>
      <c r="Q635" s="23" t="e">
        <f>NA()</f>
        <v>#N/A</v>
      </c>
      <c r="R635" s="23" t="e">
        <f>NA()</f>
        <v>#N/A</v>
      </c>
      <c r="S635" s="23" t="e">
        <f>NA()</f>
        <v>#N/A</v>
      </c>
      <c r="T635" s="23" t="e">
        <f>NA()</f>
        <v>#N/A</v>
      </c>
      <c r="U635" s="20" t="e">
        <f>NA()</f>
        <v>#N/A</v>
      </c>
      <c r="V635" s="16" t="e">
        <f>NA()</f>
        <v>#N/A</v>
      </c>
      <c r="W635" s="21" t="e">
        <f>NA()</f>
        <v>#N/A</v>
      </c>
      <c r="X635" s="21" t="e">
        <f>NA()</f>
        <v>#N/A</v>
      </c>
      <c r="Y635" s="21" t="e">
        <f>NA()</f>
        <v>#N/A</v>
      </c>
      <c r="Z635" s="21" t="e">
        <f>NA()</f>
        <v>#N/A</v>
      </c>
      <c r="AA635" s="21" t="e">
        <f>NA()</f>
        <v>#N/A</v>
      </c>
      <c r="AB635" s="21" t="e">
        <f>NA()</f>
        <v>#N/A</v>
      </c>
      <c r="AC635" s="21" t="e">
        <f>NA()</f>
        <v>#N/A</v>
      </c>
      <c r="AD635" s="21" t="e">
        <f>NA()</f>
        <v>#N/A</v>
      </c>
      <c r="AE635" s="21" t="e">
        <f>NA()</f>
        <v>#N/A</v>
      </c>
      <c r="AF635" s="21" t="e">
        <f>NA()</f>
        <v>#N/A</v>
      </c>
      <c r="AG635" s="21" t="e">
        <f>NA()</f>
        <v>#N/A</v>
      </c>
      <c r="AH635" s="18" t="s">
        <v>17</v>
      </c>
      <c r="AI635" s="13" t="str">
        <f>VLOOKUP(AH635,'Hess and Brezowsky'!$B$2:$G$31,2,FALSE)</f>
        <v>Meridional</v>
      </c>
      <c r="AJ635" s="18" t="str">
        <f>VLOOKUP(AH635,'Hess and Brezowsky'!$B$2:$G$31,3,FALSE)</f>
        <v>C</v>
      </c>
      <c r="AK635" s="13" t="str">
        <f>VLOOKUP(AH635,'Hess and Brezowsky'!$B$2:$G$31,4,FALSE)</f>
        <v>Scandinavian High, Trough Central Europe</v>
      </c>
      <c r="AL635" s="33"/>
      <c r="AM635" s="33"/>
      <c r="AN635" s="34"/>
    </row>
    <row r="636" spans="1:40" ht="15.75" customHeight="1" x14ac:dyDescent="0.2">
      <c r="A636" s="27">
        <v>45356</v>
      </c>
      <c r="B636" s="13">
        <v>2024</v>
      </c>
      <c r="C636" s="13">
        <v>65</v>
      </c>
      <c r="D636" s="13">
        <f t="shared" si="26"/>
        <v>3</v>
      </c>
      <c r="E636" s="13"/>
      <c r="F636" s="13">
        <f>IF(G636 &gt; 0.5,1,0)+IF(H636 &gt; 0.5,1,0)+IF(I636 &gt; 0.5,1,0)+IF(J636 &gt; 0.5,1,0)+IF(K636 &gt; 0.5,1,0)+IF(L637 &gt; 0.5,1,0)</f>
        <v>1</v>
      </c>
      <c r="G636" s="14">
        <v>0</v>
      </c>
      <c r="H636" s="14">
        <v>0</v>
      </c>
      <c r="I636" s="14">
        <v>0</v>
      </c>
      <c r="J636" s="14">
        <v>0</v>
      </c>
      <c r="K636" s="14">
        <v>0.83</v>
      </c>
      <c r="L636" s="14">
        <v>1</v>
      </c>
      <c r="M636" s="15">
        <v>236.017</v>
      </c>
      <c r="N636" s="16" t="str">
        <f t="shared" si="28"/>
        <v>SW</v>
      </c>
      <c r="O636" s="17">
        <v>7.1</v>
      </c>
      <c r="P636" s="16" t="s">
        <v>137</v>
      </c>
      <c r="Q636" s="23" t="e">
        <f>NA()</f>
        <v>#N/A</v>
      </c>
      <c r="R636" s="23" t="e">
        <f>NA()</f>
        <v>#N/A</v>
      </c>
      <c r="S636" s="23" t="e">
        <f>NA()</f>
        <v>#N/A</v>
      </c>
      <c r="T636" s="23" t="e">
        <f>NA()</f>
        <v>#N/A</v>
      </c>
      <c r="U636" s="20" t="e">
        <f>NA()</f>
        <v>#N/A</v>
      </c>
      <c r="V636" s="16" t="e">
        <f>NA()</f>
        <v>#N/A</v>
      </c>
      <c r="W636" s="21" t="e">
        <f>NA()</f>
        <v>#N/A</v>
      </c>
      <c r="X636" s="21" t="e">
        <f>NA()</f>
        <v>#N/A</v>
      </c>
      <c r="Y636" s="21" t="e">
        <f>NA()</f>
        <v>#N/A</v>
      </c>
      <c r="Z636" s="21" t="e">
        <f>NA()</f>
        <v>#N/A</v>
      </c>
      <c r="AA636" s="21" t="e">
        <f>NA()</f>
        <v>#N/A</v>
      </c>
      <c r="AB636" s="21" t="e">
        <f>NA()</f>
        <v>#N/A</v>
      </c>
      <c r="AC636" s="21" t="e">
        <f>NA()</f>
        <v>#N/A</v>
      </c>
      <c r="AD636" s="21" t="e">
        <f>NA()</f>
        <v>#N/A</v>
      </c>
      <c r="AE636" s="21" t="e">
        <f>NA()</f>
        <v>#N/A</v>
      </c>
      <c r="AF636" s="21" t="e">
        <f>NA()</f>
        <v>#N/A</v>
      </c>
      <c r="AG636" s="21" t="e">
        <f>NA()</f>
        <v>#N/A</v>
      </c>
      <c r="AH636" s="18" t="s">
        <v>17</v>
      </c>
      <c r="AI636" s="13" t="str">
        <f>VLOOKUP(AH636,'Hess and Brezowsky'!$B$2:$G$31,2,FALSE)</f>
        <v>Meridional</v>
      </c>
      <c r="AJ636" s="18" t="str">
        <f>VLOOKUP(AH636,'Hess and Brezowsky'!$B$2:$G$31,3,FALSE)</f>
        <v>C</v>
      </c>
      <c r="AK636" s="13" t="str">
        <f>VLOOKUP(AH636,'Hess and Brezowsky'!$B$2:$G$31,4,FALSE)</f>
        <v>Scandinavian High, Trough Central Europe</v>
      </c>
      <c r="AL636" s="33"/>
      <c r="AM636" s="33"/>
      <c r="AN636" s="34"/>
    </row>
    <row r="637" spans="1:40" ht="15.75" customHeight="1" x14ac:dyDescent="0.2">
      <c r="N637" s="1"/>
      <c r="O637" s="1"/>
    </row>
    <row r="638" spans="1:40" ht="15.75" customHeight="1" x14ac:dyDescent="0.2">
      <c r="N638" s="1"/>
      <c r="O638" s="1"/>
    </row>
    <row r="639" spans="1:40" ht="15.75" customHeight="1" x14ac:dyDescent="0.2">
      <c r="N639" s="1"/>
      <c r="O639" s="1"/>
    </row>
    <row r="640" spans="1:40" ht="15.75" customHeight="1" x14ac:dyDescent="0.2">
      <c r="N640" s="1"/>
      <c r="O640" s="1"/>
    </row>
    <row r="641" spans="14:15" ht="15.75" customHeight="1" x14ac:dyDescent="0.2">
      <c r="N641" s="1"/>
      <c r="O641" s="1"/>
    </row>
    <row r="642" spans="14:15" ht="15.75" customHeight="1" x14ac:dyDescent="0.2">
      <c r="N642" s="1"/>
      <c r="O642" s="1"/>
    </row>
    <row r="643" spans="14:15" ht="15.75" customHeight="1" x14ac:dyDescent="0.2">
      <c r="N643" s="1"/>
      <c r="O643" s="1"/>
    </row>
    <row r="644" spans="14:15" ht="15.75" customHeight="1" x14ac:dyDescent="0.2">
      <c r="N644" s="1"/>
      <c r="O644" s="1"/>
    </row>
    <row r="645" spans="14:15" ht="15.75" customHeight="1" x14ac:dyDescent="0.2">
      <c r="N645" s="1"/>
      <c r="O645" s="1"/>
    </row>
    <row r="646" spans="14:15" ht="15.75" customHeight="1" x14ac:dyDescent="0.2">
      <c r="N646" s="1"/>
      <c r="O646" s="1"/>
    </row>
    <row r="647" spans="14:15" ht="15.75" customHeight="1" x14ac:dyDescent="0.2">
      <c r="N647" s="1"/>
      <c r="O647" s="1"/>
    </row>
    <row r="648" spans="14:15" ht="15.75" customHeight="1" x14ac:dyDescent="0.2">
      <c r="N648" s="1"/>
      <c r="O648" s="1"/>
    </row>
    <row r="649" spans="14:15" ht="15.75" customHeight="1" x14ac:dyDescent="0.2">
      <c r="N649" s="1"/>
      <c r="O649" s="1"/>
    </row>
    <row r="650" spans="14:15" ht="15.75" customHeight="1" x14ac:dyDescent="0.2">
      <c r="N650" s="1"/>
      <c r="O650" s="1"/>
    </row>
    <row r="651" spans="14:15" ht="15.75" customHeight="1" x14ac:dyDescent="0.2">
      <c r="N651" s="1"/>
      <c r="O651" s="1"/>
    </row>
    <row r="652" spans="14:15" ht="15.75" customHeight="1" x14ac:dyDescent="0.2">
      <c r="N652" s="1"/>
      <c r="O652" s="1"/>
    </row>
    <row r="653" spans="14:15" ht="15.75" customHeight="1" x14ac:dyDescent="0.2">
      <c r="N653" s="1"/>
      <c r="O653" s="1"/>
    </row>
    <row r="654" spans="14:15" ht="15.75" customHeight="1" x14ac:dyDescent="0.2">
      <c r="N654" s="1"/>
      <c r="O654" s="1"/>
    </row>
    <row r="655" spans="14:15" ht="15.75" customHeight="1" x14ac:dyDescent="0.2">
      <c r="N655" s="1"/>
      <c r="O655" s="1"/>
    </row>
    <row r="656" spans="14:15" ht="15.75" customHeight="1" x14ac:dyDescent="0.2">
      <c r="N656" s="1"/>
      <c r="O656" s="1"/>
    </row>
    <row r="657" spans="14:15" ht="15.75" customHeight="1" x14ac:dyDescent="0.2">
      <c r="N657" s="1"/>
      <c r="O657" s="1"/>
    </row>
    <row r="658" spans="14:15" ht="15.75" customHeight="1" x14ac:dyDescent="0.2">
      <c r="N658" s="1"/>
      <c r="O658" s="1"/>
    </row>
    <row r="659" spans="14:15" ht="15.75" customHeight="1" x14ac:dyDescent="0.2">
      <c r="N659" s="1"/>
      <c r="O659" s="1"/>
    </row>
    <row r="660" spans="14:15" ht="15.75" customHeight="1" x14ac:dyDescent="0.2">
      <c r="N660" s="1"/>
      <c r="O660" s="1"/>
    </row>
    <row r="661" spans="14:15" ht="15.75" customHeight="1" x14ac:dyDescent="0.2">
      <c r="N661" s="1"/>
      <c r="O661" s="1"/>
    </row>
    <row r="662" spans="14:15" ht="15.75" customHeight="1" x14ac:dyDescent="0.2">
      <c r="N662" s="1"/>
      <c r="O662" s="1"/>
    </row>
    <row r="663" spans="14:15" ht="15.75" customHeight="1" x14ac:dyDescent="0.2">
      <c r="N663" s="1"/>
      <c r="O663" s="1"/>
    </row>
    <row r="664" spans="14:15" ht="15.75" customHeight="1" x14ac:dyDescent="0.2">
      <c r="N664" s="1"/>
      <c r="O664" s="1"/>
    </row>
    <row r="665" spans="14:15" ht="15.75" customHeight="1" x14ac:dyDescent="0.2">
      <c r="N665" s="1"/>
      <c r="O665" s="1"/>
    </row>
    <row r="666" spans="14:15" ht="15.75" customHeight="1" x14ac:dyDescent="0.2">
      <c r="N666" s="1"/>
      <c r="O666" s="1"/>
    </row>
    <row r="667" spans="14:15" ht="15.75" customHeight="1" x14ac:dyDescent="0.2">
      <c r="N667" s="1"/>
      <c r="O667" s="1"/>
    </row>
    <row r="668" spans="14:15" ht="15.75" customHeight="1" x14ac:dyDescent="0.2">
      <c r="N668" s="1"/>
      <c r="O668" s="1"/>
    </row>
    <row r="669" spans="14:15" ht="15.75" customHeight="1" x14ac:dyDescent="0.2">
      <c r="N669" s="1"/>
      <c r="O669" s="1"/>
    </row>
    <row r="670" spans="14:15" ht="15.75" customHeight="1" x14ac:dyDescent="0.2">
      <c r="N670" s="1"/>
      <c r="O670" s="1"/>
    </row>
    <row r="671" spans="14:15" ht="15.75" customHeight="1" x14ac:dyDescent="0.2">
      <c r="N671" s="1"/>
      <c r="O671" s="1"/>
    </row>
    <row r="672" spans="14:15" ht="15.75" customHeight="1" x14ac:dyDescent="0.2">
      <c r="N672" s="1"/>
      <c r="O672" s="1"/>
    </row>
    <row r="673" spans="14:15" ht="15.75" customHeight="1" x14ac:dyDescent="0.2">
      <c r="N673" s="1"/>
      <c r="O673" s="1"/>
    </row>
    <row r="674" spans="14:15" ht="15.75" customHeight="1" x14ac:dyDescent="0.2">
      <c r="N674" s="1"/>
      <c r="O674" s="1"/>
    </row>
    <row r="675" spans="14:15" ht="15.75" customHeight="1" x14ac:dyDescent="0.2">
      <c r="N675" s="1"/>
      <c r="O675" s="1"/>
    </row>
    <row r="676" spans="14:15" ht="15.75" customHeight="1" x14ac:dyDescent="0.2">
      <c r="N676" s="1"/>
      <c r="O676" s="1"/>
    </row>
    <row r="677" spans="14:15" ht="15.75" customHeight="1" x14ac:dyDescent="0.2">
      <c r="N677" s="1"/>
      <c r="O677" s="1"/>
    </row>
    <row r="678" spans="14:15" ht="15.75" customHeight="1" x14ac:dyDescent="0.2">
      <c r="N678" s="1"/>
      <c r="O678" s="1"/>
    </row>
    <row r="679" spans="14:15" ht="15.75" customHeight="1" x14ac:dyDescent="0.2">
      <c r="N679" s="1"/>
      <c r="O679" s="1"/>
    </row>
    <row r="680" spans="14:15" ht="15.75" customHeight="1" x14ac:dyDescent="0.2">
      <c r="N680" s="1"/>
      <c r="O680" s="1"/>
    </row>
    <row r="681" spans="14:15" ht="15.75" customHeight="1" x14ac:dyDescent="0.2">
      <c r="N681" s="1"/>
      <c r="O681" s="1"/>
    </row>
    <row r="682" spans="14:15" ht="15.75" customHeight="1" x14ac:dyDescent="0.2">
      <c r="N682" s="1"/>
      <c r="O682" s="1"/>
    </row>
    <row r="683" spans="14:15" ht="15.75" customHeight="1" x14ac:dyDescent="0.2">
      <c r="N683" s="1"/>
      <c r="O683" s="1"/>
    </row>
    <row r="684" spans="14:15" ht="15.75" customHeight="1" x14ac:dyDescent="0.2">
      <c r="N684" s="1"/>
      <c r="O684" s="1"/>
    </row>
    <row r="685" spans="14:15" ht="15.75" customHeight="1" x14ac:dyDescent="0.2">
      <c r="N685" s="1"/>
      <c r="O685" s="1"/>
    </row>
    <row r="686" spans="14:15" ht="15.75" customHeight="1" x14ac:dyDescent="0.2">
      <c r="N686" s="1"/>
      <c r="O686" s="1"/>
    </row>
    <row r="687" spans="14:15" ht="15.75" customHeight="1" x14ac:dyDescent="0.2">
      <c r="N687" s="1"/>
      <c r="O687" s="1"/>
    </row>
    <row r="688" spans="14:15" ht="15.75" customHeight="1" x14ac:dyDescent="0.2">
      <c r="N688" s="1"/>
      <c r="O688" s="1"/>
    </row>
    <row r="689" spans="14:15" ht="15.75" customHeight="1" x14ac:dyDescent="0.2">
      <c r="N689" s="1"/>
      <c r="O689" s="1"/>
    </row>
    <row r="690" spans="14:15" ht="15.75" customHeight="1" x14ac:dyDescent="0.2">
      <c r="N690" s="1"/>
      <c r="O690" s="1"/>
    </row>
    <row r="691" spans="14:15" ht="15.75" customHeight="1" x14ac:dyDescent="0.2">
      <c r="N691" s="1"/>
      <c r="O691" s="1"/>
    </row>
    <row r="692" spans="14:15" ht="15.75" customHeight="1" x14ac:dyDescent="0.2">
      <c r="N692" s="1"/>
      <c r="O692" s="1"/>
    </row>
    <row r="693" spans="14:15" ht="15.75" customHeight="1" x14ac:dyDescent="0.2">
      <c r="N693" s="1"/>
      <c r="O693" s="1"/>
    </row>
    <row r="694" spans="14:15" ht="15.75" customHeight="1" x14ac:dyDescent="0.2">
      <c r="N694" s="1"/>
      <c r="O694" s="1"/>
    </row>
    <row r="695" spans="14:15" ht="15.75" customHeight="1" x14ac:dyDescent="0.2">
      <c r="N695" s="1"/>
      <c r="O695" s="1"/>
    </row>
    <row r="696" spans="14:15" ht="15.75" customHeight="1" x14ac:dyDescent="0.2">
      <c r="N696" s="1"/>
      <c r="O696" s="1"/>
    </row>
  </sheetData>
  <conditionalFormatting sqref="D2:D636">
    <cfRule type="cellIs" dxfId="110" priority="129" stopIfTrue="1" operator="greaterThan">
      <formula>6</formula>
    </cfRule>
  </conditionalFormatting>
  <conditionalFormatting sqref="F2:F636">
    <cfRule type="colorScale" priority="175">
      <colorScale>
        <cfvo type="min"/>
        <cfvo type="formula" val="4"/>
        <cfvo type="formula" val="6"/>
        <color rgb="FFE06666"/>
        <color rgb="FFFFFF9A"/>
        <color rgb="FF57BB8A"/>
      </colorScale>
    </cfRule>
  </conditionalFormatting>
  <conditionalFormatting sqref="L2:L181 G2:K636 L183:L636">
    <cfRule type="cellIs" dxfId="109" priority="130" operator="greaterThan">
      <formula>0.8</formula>
    </cfRule>
    <cfRule type="cellIs" dxfId="108" priority="131" operator="greaterThan">
      <formula>0.1</formula>
    </cfRule>
  </conditionalFormatting>
  <conditionalFormatting sqref="L182">
    <cfRule type="cellIs" dxfId="107" priority="133" operator="greaterThan">
      <formula>0.8</formula>
    </cfRule>
    <cfRule type="cellIs" dxfId="106" priority="134" operator="greaterThan">
      <formula>0.1</formula>
    </cfRule>
    <cfRule type="cellIs" dxfId="105" priority="135" operator="lessThan">
      <formula>0.1</formula>
    </cfRule>
  </conditionalFormatting>
  <conditionalFormatting sqref="N2:N636">
    <cfRule type="containsText" dxfId="104" priority="136" stopIfTrue="1" operator="containsText" text="NE">
      <formula>NOT(ISERROR(SEARCH(("NE"),(N2))))</formula>
    </cfRule>
    <cfRule type="containsText" dxfId="103" priority="137" stopIfTrue="1" operator="containsText" text="SE">
      <formula>NOT(ISERROR(SEARCH(("SE"),(N2))))</formula>
    </cfRule>
    <cfRule type="containsText" dxfId="102" priority="138" stopIfTrue="1" operator="containsText" text="SW">
      <formula>NOT(ISERROR(SEARCH(("SW"),(N2))))</formula>
    </cfRule>
    <cfRule type="containsText" dxfId="101" priority="139" stopIfTrue="1" operator="containsText" text="NW">
      <formula>NOT(ISERROR(SEARCH(("NW"),(N2))))</formula>
    </cfRule>
    <cfRule type="containsText" dxfId="100" priority="140" operator="containsText" text="N">
      <formula>NOT(ISERROR(SEARCH(("N"),(N2))))</formula>
    </cfRule>
    <cfRule type="containsText" dxfId="99" priority="141" operator="containsText" text="W">
      <formula>NOT(ISERROR(SEARCH(("W"),(N2))))</formula>
    </cfRule>
    <cfRule type="containsText" dxfId="98" priority="142" operator="containsText" text="S">
      <formula>NOT(ISERROR(SEARCH(("S"),(N2))))</formula>
    </cfRule>
    <cfRule type="containsText" dxfId="97" priority="143" operator="containsText" text="E">
      <formula>NOT(ISERROR(SEARCH(("E"),(N2))))</formula>
    </cfRule>
  </conditionalFormatting>
  <conditionalFormatting sqref="P2:P636">
    <cfRule type="containsText" dxfId="96" priority="90" operator="containsText" text="Few">
      <formula>NOT(ISERROR(SEARCH("Few",P2)))</formula>
    </cfRule>
  </conditionalFormatting>
  <conditionalFormatting sqref="P2:P636">
    <cfRule type="containsText" dxfId="95" priority="88" operator="containsText" text="Clear">
      <formula>NOT(ISERROR(SEARCH("Clear",P2)))</formula>
    </cfRule>
  </conditionalFormatting>
  <conditionalFormatting sqref="R2:T241 R243:T410 R412:T636">
    <cfRule type="cellIs" dxfId="90" priority="81" operator="lessThan">
      <formula>0</formula>
    </cfRule>
    <cfRule type="cellIs" dxfId="89" priority="82" operator="greaterThan">
      <formula>35</formula>
    </cfRule>
    <cfRule type="cellIs" dxfId="88" priority="83" operator="greaterThan">
      <formula>30</formula>
    </cfRule>
  </conditionalFormatting>
  <conditionalFormatting sqref="V2:V636">
    <cfRule type="containsText" dxfId="87" priority="91" stopIfTrue="1" operator="containsText" text="NE">
      <formula>NOT(ISERROR(SEARCH(("NE"),(V2))))</formula>
    </cfRule>
    <cfRule type="containsText" dxfId="86" priority="92" stopIfTrue="1" operator="containsText" text="SE">
      <formula>NOT(ISERROR(SEARCH(("SE"),(V2))))</formula>
    </cfRule>
    <cfRule type="containsText" dxfId="85" priority="93" stopIfTrue="1" operator="containsText" text="SW">
      <formula>NOT(ISERROR(SEARCH(("SW"),(V2))))</formula>
    </cfRule>
    <cfRule type="containsText" dxfId="84" priority="94" stopIfTrue="1" operator="containsText" text="NW">
      <formula>NOT(ISERROR(SEARCH(("NW"),(V2))))</formula>
    </cfRule>
    <cfRule type="containsText" dxfId="83" priority="95" operator="containsText" text="N">
      <formula>NOT(ISERROR(SEARCH(("N"),(V2))))</formula>
    </cfRule>
    <cfRule type="containsText" dxfId="82" priority="96" operator="containsText" text="W">
      <formula>NOT(ISERROR(SEARCH(("W"),(V2))))</formula>
    </cfRule>
    <cfRule type="containsText" dxfId="81" priority="97" operator="containsText" text="S">
      <formula>NOT(ISERROR(SEARCH(("S"),(V2))))</formula>
    </cfRule>
    <cfRule type="containsText" dxfId="80" priority="98" operator="containsText" text="E">
      <formula>NOT(ISERROR(SEARCH(("E"),(V2))))</formula>
    </cfRule>
  </conditionalFormatting>
  <conditionalFormatting sqref="AH2:AH200 AH205:AH636">
    <cfRule type="containsText" dxfId="79" priority="21" stopIfTrue="1" operator="containsText" text="HNFa">
      <formula>NOT(ISERROR(SEARCH(("HNFa"),(AH2))))</formula>
    </cfRule>
    <cfRule type="containsText" dxfId="78" priority="22" stopIfTrue="1" operator="containsText" text="HNFz">
      <formula>NOT(ISERROR(SEARCH(("HNFz"),(AH2))))</formula>
    </cfRule>
    <cfRule type="containsText" dxfId="77" priority="23" stopIfTrue="1" operator="containsText" text="NWa">
      <formula>NOT(ISERROR(SEARCH(("NWa"),(AH2))))</formula>
    </cfRule>
    <cfRule type="containsText" dxfId="76" priority="24" stopIfTrue="1" operator="containsText" text="NWz">
      <formula>NOT(ISERROR(SEARCH(("NWz"),(AH2))))</formula>
    </cfRule>
    <cfRule type="containsText" dxfId="75" priority="25" stopIfTrue="1" operator="containsText" text="SWz">
      <formula>NOT(ISERROR(SEARCH(("SWz"),(AH2))))</formula>
    </cfRule>
    <cfRule type="containsText" dxfId="74" priority="26" stopIfTrue="1" operator="containsText" text="SWa">
      <formula>NOT(ISERROR(SEARCH(("SWa"),(AH2))))</formula>
    </cfRule>
    <cfRule type="containsText" dxfId="73" priority="27" stopIfTrue="1" operator="containsText" text="Wa">
      <formula>NOT(ISERROR(SEARCH(("Wa"),(AH2))))</formula>
    </cfRule>
    <cfRule type="containsText" dxfId="72" priority="28" stopIfTrue="1" operator="containsText" text="Wz">
      <formula>NOT(ISERROR(SEARCH(("Wz"),(AH2))))</formula>
    </cfRule>
    <cfRule type="containsText" dxfId="71" priority="29" stopIfTrue="1" operator="containsText" text="HNz">
      <formula>NOT(ISERROR(SEARCH(("HNz"),(AH2))))</formula>
    </cfRule>
    <cfRule type="containsText" dxfId="70" priority="30" stopIfTrue="1" operator="containsText" text="HNa">
      <formula>NOT(ISERROR(SEARCH(("HNa"),(AH2))))</formula>
    </cfRule>
    <cfRule type="containsText" dxfId="69" priority="31" operator="containsText" text="WS">
      <formula>NOT(ISERROR(SEARCH(("WS"),(AH2))))</formula>
    </cfRule>
    <cfRule type="containsText" dxfId="68" priority="32" operator="containsText" text="WW">
      <formula>NOT(ISERROR(SEARCH(("WW"),(AH2))))</formula>
    </cfRule>
    <cfRule type="containsText" dxfId="67" priority="33" operator="containsText" text="HM">
      <formula>NOT(ISERROR(SEARCH(("HM"),(AH2))))</formula>
    </cfRule>
    <cfRule type="containsText" dxfId="66" priority="34" operator="containsText" text="BM">
      <formula>NOT(ISERROR(SEARCH(("BM"),(AH2))))</formula>
    </cfRule>
    <cfRule type="containsText" dxfId="65" priority="35" operator="containsText" text="TM">
      <formula>NOT(ISERROR(SEARCH(("TM"),(AH2))))</formula>
    </cfRule>
    <cfRule type="containsText" dxfId="64" priority="36" operator="containsText" text="Na">
      <formula>NOT(ISERROR(SEARCH(("Na"),(AH2))))</formula>
    </cfRule>
    <cfRule type="containsText" dxfId="63" priority="37" operator="containsText" text="Nz">
      <formula>NOT(ISERROR(SEARCH(("Nz"),(AH2))))</formula>
    </cfRule>
    <cfRule type="containsText" dxfId="62" priority="38" operator="containsText" text="HB">
      <formula>NOT(ISERROR(SEARCH(("HB"),(AH2))))</formula>
    </cfRule>
    <cfRule type="containsText" dxfId="61" priority="39" operator="containsText" text="TrM">
      <formula>NOT(ISERROR(SEARCH(("TrM"),(AH2))))</formula>
    </cfRule>
    <cfRule type="containsText" dxfId="60" priority="40" operator="containsText" text="NEa">
      <formula>NOT(ISERROR(SEARCH(("NEa"),(AH2))))</formula>
    </cfRule>
    <cfRule type="containsText" dxfId="59" priority="41" operator="containsText" text="NEz">
      <formula>NOT(ISERROR(SEARCH(("NEz"),(AH2))))</formula>
    </cfRule>
    <cfRule type="containsText" dxfId="58" priority="42" operator="containsText" text="HFa">
      <formula>NOT(ISERROR(SEARCH(("HFa"),(AH2))))</formula>
    </cfRule>
    <cfRule type="containsText" dxfId="57" priority="43" operator="containsText" text="HFz">
      <formula>NOT(ISERROR(SEARCH(("HFz"),(AH2))))</formula>
    </cfRule>
    <cfRule type="containsText" dxfId="56" priority="44" operator="containsText" text="SEa">
      <formula>NOT(ISERROR(SEARCH(("SEa"),(AH2))))</formula>
    </cfRule>
    <cfRule type="containsText" dxfId="55" priority="45" operator="containsText" text="Ü">
      <formula>NOT(ISERROR(SEARCH(("Ü"),(AH2))))</formula>
    </cfRule>
    <cfRule type="containsText" dxfId="54" priority="46" operator="containsText" text="TrW">
      <formula>NOT(ISERROR(SEARCH(("TrW"),(AH2))))</formula>
    </cfRule>
    <cfRule type="containsText" dxfId="53" priority="47" operator="containsText" text="TB">
      <formula>NOT(ISERROR(SEARCH(("TB"),(AH2))))</formula>
    </cfRule>
    <cfRule type="containsText" dxfId="52" priority="48" operator="containsText" text="Sz">
      <formula>NOT(ISERROR(SEARCH(("Sz"),(AH2))))</formula>
    </cfRule>
    <cfRule type="containsText" dxfId="51" priority="49" operator="containsText" text="Sa">
      <formula>NOT(ISERROR(SEARCH(("Sa"),(AH2))))</formula>
    </cfRule>
    <cfRule type="containsText" dxfId="50" priority="50" operator="containsText" text="SEz">
      <formula>NOT(ISERROR(SEARCH(("SEz"),(AH2))))</formula>
    </cfRule>
  </conditionalFormatting>
  <conditionalFormatting sqref="D2:D636">
    <cfRule type="cellIs" dxfId="49" priority="20" operator="lessThanOrEqual">
      <formula>1</formula>
    </cfRule>
  </conditionalFormatting>
  <conditionalFormatting sqref="Q2:Q631">
    <cfRule type="cellIs" dxfId="48" priority="16" operator="greaterThan">
      <formula>10</formula>
    </cfRule>
    <cfRule type="cellIs" dxfId="47" priority="17" operator="greaterThan">
      <formula>5</formula>
    </cfRule>
  </conditionalFormatting>
  <conditionalFormatting sqref="Q2:Q631">
    <cfRule type="cellIs" dxfId="46" priority="18" operator="greaterThan">
      <formula>1</formula>
    </cfRule>
    <cfRule type="cellIs" dxfId="45" priority="19" operator="greaterThan">
      <formula>0.1</formula>
    </cfRule>
  </conditionalFormatting>
  <conditionalFormatting sqref="Q632">
    <cfRule type="cellIs" dxfId="44" priority="13" operator="lessThan">
      <formula>0</formula>
    </cfRule>
    <cfRule type="cellIs" dxfId="43" priority="14" operator="greaterThan">
      <formula>35</formula>
    </cfRule>
    <cfRule type="cellIs" dxfId="42" priority="15" operator="greaterThan">
      <formula>30</formula>
    </cfRule>
  </conditionalFormatting>
  <conditionalFormatting sqref="Q633">
    <cfRule type="cellIs" dxfId="41" priority="10" operator="lessThan">
      <formula>0</formula>
    </cfRule>
    <cfRule type="cellIs" dxfId="40" priority="11" operator="greaterThan">
      <formula>35</formula>
    </cfRule>
    <cfRule type="cellIs" dxfId="39" priority="12" operator="greaterThan">
      <formula>30</formula>
    </cfRule>
  </conditionalFormatting>
  <conditionalFormatting sqref="Q634">
    <cfRule type="cellIs" dxfId="38" priority="7" operator="lessThan">
      <formula>0</formula>
    </cfRule>
    <cfRule type="cellIs" dxfId="37" priority="8" operator="greaterThan">
      <formula>35</formula>
    </cfRule>
    <cfRule type="cellIs" dxfId="36" priority="9" operator="greaterThan">
      <formula>30</formula>
    </cfRule>
  </conditionalFormatting>
  <conditionalFormatting sqref="Q635">
    <cfRule type="cellIs" dxfId="35" priority="4" operator="lessThan">
      <formula>0</formula>
    </cfRule>
    <cfRule type="cellIs" dxfId="34" priority="5" operator="greaterThan">
      <formula>35</formula>
    </cfRule>
    <cfRule type="cellIs" dxfId="33" priority="6" operator="greaterThan">
      <formula>30</formula>
    </cfRule>
  </conditionalFormatting>
  <conditionalFormatting sqref="Q636">
    <cfRule type="cellIs" dxfId="32" priority="1" operator="lessThan">
      <formula>0</formula>
    </cfRule>
    <cfRule type="cellIs" dxfId="31" priority="2" operator="greaterThan">
      <formula>35</formula>
    </cfRule>
    <cfRule type="cellIs" dxfId="30" priority="3" operator="greaterThan">
      <formula>30</formula>
    </cfRule>
  </conditionalFormatting>
  <pageMargins left="0.7" right="0.7" top="0.75" bottom="0.75" header="0" footer="0"/>
  <pageSetup scale="39" fitToHeight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839B-3A13-8E47-BA61-6B17A2BD5E5B}">
  <dimension ref="A1:A8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0" t="s">
        <v>135</v>
      </c>
    </row>
    <row r="2" spans="1:1" x14ac:dyDescent="0.2">
      <c r="A2" s="11" t="s">
        <v>134</v>
      </c>
    </row>
    <row r="3" spans="1:1" x14ac:dyDescent="0.2">
      <c r="A3" s="35" t="s">
        <v>173</v>
      </c>
    </row>
    <row r="5" spans="1:1" x14ac:dyDescent="0.2">
      <c r="A5" s="12" t="s">
        <v>141</v>
      </c>
    </row>
    <row r="6" spans="1:1" x14ac:dyDescent="0.2">
      <c r="A6" s="10" t="s">
        <v>133</v>
      </c>
    </row>
    <row r="7" spans="1:1" x14ac:dyDescent="0.2">
      <c r="A7" s="12" t="s">
        <v>142</v>
      </c>
    </row>
    <row r="8" spans="1:1" x14ac:dyDescent="0.2">
      <c r="A8" s="12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35" sqref="E35:E36"/>
    </sheetView>
  </sheetViews>
  <sheetFormatPr baseColWidth="10" defaultColWidth="11.1640625" defaultRowHeight="15" customHeight="1" x14ac:dyDescent="0.2"/>
  <cols>
    <col min="1" max="4" width="10.5" customWidth="1"/>
    <col min="5" max="5" width="46.1640625" customWidth="1"/>
    <col min="6" max="6" width="63" customWidth="1"/>
    <col min="7" max="7" width="19.5" customWidth="1"/>
    <col min="8" max="26" width="10.5" customWidth="1"/>
  </cols>
  <sheetData>
    <row r="1" spans="1:26" ht="93" customHeight="1" x14ac:dyDescent="0.2">
      <c r="A1" s="2" t="s">
        <v>52</v>
      </c>
      <c r="B1" s="2" t="s">
        <v>53</v>
      </c>
      <c r="C1" s="2" t="s">
        <v>54</v>
      </c>
      <c r="D1" s="2" t="s">
        <v>55</v>
      </c>
      <c r="E1" s="3" t="s">
        <v>56</v>
      </c>
      <c r="F1" s="3" t="s">
        <v>57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1</v>
      </c>
      <c r="B2" s="6" t="s">
        <v>31</v>
      </c>
      <c r="C2" s="1" t="s">
        <v>58</v>
      </c>
      <c r="D2" s="1" t="s">
        <v>59</v>
      </c>
      <c r="E2" s="7" t="s">
        <v>60</v>
      </c>
      <c r="F2" s="7" t="s">
        <v>61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">
      <c r="A3" s="9">
        <v>2</v>
      </c>
      <c r="B3" s="1" t="s">
        <v>28</v>
      </c>
      <c r="C3" s="1" t="s">
        <v>58</v>
      </c>
      <c r="D3" s="1" t="s">
        <v>62</v>
      </c>
      <c r="E3" s="7" t="s">
        <v>63</v>
      </c>
      <c r="F3" s="7" t="s">
        <v>64</v>
      </c>
    </row>
    <row r="4" spans="1:26" ht="15.75" customHeight="1" x14ac:dyDescent="0.2">
      <c r="A4" s="9">
        <v>3</v>
      </c>
      <c r="B4" s="1" t="s">
        <v>47</v>
      </c>
      <c r="C4" s="1" t="s">
        <v>58</v>
      </c>
      <c r="D4" s="1" t="s">
        <v>65</v>
      </c>
      <c r="E4" s="7" t="s">
        <v>66</v>
      </c>
      <c r="F4" s="7" t="s">
        <v>67</v>
      </c>
    </row>
    <row r="5" spans="1:26" ht="15.75" customHeight="1" x14ac:dyDescent="0.2">
      <c r="A5" s="9">
        <v>4</v>
      </c>
      <c r="B5" s="1" t="s">
        <v>49</v>
      </c>
      <c r="C5" s="1" t="s">
        <v>58</v>
      </c>
      <c r="D5" s="1" t="s">
        <v>65</v>
      </c>
      <c r="E5" s="7" t="s">
        <v>68</v>
      </c>
      <c r="F5" s="7" t="s">
        <v>69</v>
      </c>
    </row>
    <row r="6" spans="1:26" ht="15.75" customHeight="1" x14ac:dyDescent="0.2">
      <c r="A6" s="9">
        <v>5</v>
      </c>
      <c r="B6" s="1" t="s">
        <v>32</v>
      </c>
      <c r="C6" s="1" t="s">
        <v>70</v>
      </c>
      <c r="D6" s="1" t="s">
        <v>59</v>
      </c>
      <c r="E6" s="7" t="s">
        <v>71</v>
      </c>
      <c r="F6" s="7" t="s">
        <v>72</v>
      </c>
    </row>
    <row r="7" spans="1:26" ht="15.75" customHeight="1" x14ac:dyDescent="0.2">
      <c r="A7" s="9">
        <v>6</v>
      </c>
      <c r="B7" s="1" t="s">
        <v>33</v>
      </c>
      <c r="C7" s="1" t="s">
        <v>70</v>
      </c>
      <c r="D7" s="1" t="s">
        <v>62</v>
      </c>
      <c r="E7" s="7" t="s">
        <v>73</v>
      </c>
      <c r="F7" s="7" t="s">
        <v>74</v>
      </c>
    </row>
    <row r="8" spans="1:26" ht="15.75" customHeight="1" x14ac:dyDescent="0.2">
      <c r="A8" s="9">
        <v>7</v>
      </c>
      <c r="B8" s="1" t="s">
        <v>44</v>
      </c>
      <c r="C8" s="1" t="s">
        <v>70</v>
      </c>
      <c r="D8" s="1" t="s">
        <v>59</v>
      </c>
      <c r="E8" s="7" t="s">
        <v>75</v>
      </c>
      <c r="F8" s="7" t="s">
        <v>76</v>
      </c>
    </row>
    <row r="9" spans="1:26" ht="15.75" customHeight="1" x14ac:dyDescent="0.2">
      <c r="A9" s="9">
        <v>8</v>
      </c>
      <c r="B9" s="1" t="s">
        <v>29</v>
      </c>
      <c r="C9" s="1" t="s">
        <v>70</v>
      </c>
      <c r="D9" s="1" t="s">
        <v>62</v>
      </c>
      <c r="E9" s="7" t="s">
        <v>77</v>
      </c>
      <c r="F9" s="7" t="s">
        <v>78</v>
      </c>
    </row>
    <row r="10" spans="1:26" ht="15.75" customHeight="1" x14ac:dyDescent="0.2">
      <c r="A10" s="9">
        <v>9</v>
      </c>
      <c r="B10" s="1" t="s">
        <v>8</v>
      </c>
      <c r="C10" s="1" t="s">
        <v>70</v>
      </c>
      <c r="D10" s="1" t="s">
        <v>59</v>
      </c>
      <c r="E10" s="7" t="s">
        <v>79</v>
      </c>
      <c r="F10" s="7" t="s">
        <v>80</v>
      </c>
    </row>
    <row r="11" spans="1:26" ht="15.75" customHeight="1" x14ac:dyDescent="0.2">
      <c r="A11" s="9">
        <v>10</v>
      </c>
      <c r="B11" s="1" t="s">
        <v>4</v>
      </c>
      <c r="C11" s="1" t="s">
        <v>70</v>
      </c>
      <c r="D11" s="1" t="s">
        <v>59</v>
      </c>
      <c r="E11" s="7" t="s">
        <v>81</v>
      </c>
      <c r="F11" s="7" t="s">
        <v>82</v>
      </c>
    </row>
    <row r="12" spans="1:26" ht="15.75" customHeight="1" x14ac:dyDescent="0.2">
      <c r="A12" s="9">
        <v>11</v>
      </c>
      <c r="B12" s="1" t="s">
        <v>51</v>
      </c>
      <c r="C12" s="1" t="s">
        <v>70</v>
      </c>
      <c r="D12" s="1" t="s">
        <v>62</v>
      </c>
      <c r="E12" s="7" t="s">
        <v>83</v>
      </c>
      <c r="F12" s="7" t="s">
        <v>84</v>
      </c>
    </row>
    <row r="13" spans="1:26" ht="15.75" customHeight="1" x14ac:dyDescent="0.2">
      <c r="A13" s="9">
        <v>12</v>
      </c>
      <c r="B13" s="1" t="s">
        <v>19</v>
      </c>
      <c r="C13" s="1" t="s">
        <v>85</v>
      </c>
      <c r="D13" s="1" t="s">
        <v>59</v>
      </c>
      <c r="E13" s="7" t="s">
        <v>86</v>
      </c>
      <c r="F13" s="7" t="s">
        <v>87</v>
      </c>
    </row>
    <row r="14" spans="1:26" ht="15.75" customHeight="1" x14ac:dyDescent="0.2">
      <c r="A14" s="9">
        <v>13</v>
      </c>
      <c r="B14" s="1" t="s">
        <v>18</v>
      </c>
      <c r="C14" s="1" t="s">
        <v>85</v>
      </c>
      <c r="D14" s="1" t="s">
        <v>62</v>
      </c>
      <c r="E14" s="7" t="s">
        <v>88</v>
      </c>
      <c r="F14" s="7" t="s">
        <v>89</v>
      </c>
    </row>
    <row r="15" spans="1:26" ht="15.75" customHeight="1" x14ac:dyDescent="0.2">
      <c r="A15" s="9">
        <v>14</v>
      </c>
      <c r="B15" s="1" t="s">
        <v>34</v>
      </c>
      <c r="C15" s="1" t="s">
        <v>85</v>
      </c>
      <c r="D15" s="1" t="s">
        <v>59</v>
      </c>
      <c r="E15" s="7" t="s">
        <v>90</v>
      </c>
      <c r="F15" s="7" t="s">
        <v>91</v>
      </c>
    </row>
    <row r="16" spans="1:26" ht="15.75" customHeight="1" x14ac:dyDescent="0.2">
      <c r="A16" s="9">
        <v>15</v>
      </c>
      <c r="B16" s="1" t="s">
        <v>39</v>
      </c>
      <c r="C16" s="1" t="s">
        <v>85</v>
      </c>
      <c r="D16" s="1" t="s">
        <v>62</v>
      </c>
      <c r="E16" s="7" t="s">
        <v>92</v>
      </c>
      <c r="F16" s="7" t="s">
        <v>93</v>
      </c>
    </row>
    <row r="17" spans="1:6" ht="15.75" customHeight="1" x14ac:dyDescent="0.2">
      <c r="A17" s="9">
        <v>16</v>
      </c>
      <c r="B17" s="1" t="s">
        <v>14</v>
      </c>
      <c r="C17" s="1" t="s">
        <v>85</v>
      </c>
      <c r="D17" s="1" t="s">
        <v>59</v>
      </c>
      <c r="E17" s="7" t="s">
        <v>94</v>
      </c>
      <c r="F17" s="7" t="s">
        <v>95</v>
      </c>
    </row>
    <row r="18" spans="1:6" ht="15.75" customHeight="1" x14ac:dyDescent="0.2">
      <c r="A18" s="9">
        <v>17</v>
      </c>
      <c r="B18" s="1" t="s">
        <v>30</v>
      </c>
      <c r="C18" s="1" t="s">
        <v>85</v>
      </c>
      <c r="D18" s="1" t="s">
        <v>65</v>
      </c>
      <c r="E18" s="7" t="s">
        <v>96</v>
      </c>
      <c r="F18" s="7" t="s">
        <v>97</v>
      </c>
    </row>
    <row r="19" spans="1:6" ht="15.75" customHeight="1" x14ac:dyDescent="0.2">
      <c r="A19" s="9">
        <v>18</v>
      </c>
      <c r="B19" s="1" t="s">
        <v>24</v>
      </c>
      <c r="C19" s="1" t="s">
        <v>85</v>
      </c>
      <c r="D19" s="1" t="s">
        <v>59</v>
      </c>
      <c r="E19" s="7" t="s">
        <v>98</v>
      </c>
      <c r="F19" s="7" t="s">
        <v>99</v>
      </c>
    </row>
    <row r="20" spans="1:6" ht="15.75" customHeight="1" x14ac:dyDescent="0.2">
      <c r="A20" s="9">
        <v>19</v>
      </c>
      <c r="B20" s="1" t="s">
        <v>43</v>
      </c>
      <c r="C20" s="1" t="s">
        <v>85</v>
      </c>
      <c r="D20" s="1" t="s">
        <v>62</v>
      </c>
      <c r="E20" s="7" t="s">
        <v>100</v>
      </c>
      <c r="F20" s="7" t="s">
        <v>101</v>
      </c>
    </row>
    <row r="21" spans="1:6" ht="15.75" customHeight="1" x14ac:dyDescent="0.2">
      <c r="A21" s="9">
        <v>20</v>
      </c>
      <c r="B21" s="1" t="s">
        <v>42</v>
      </c>
      <c r="C21" s="1" t="s">
        <v>85</v>
      </c>
      <c r="D21" s="1" t="s">
        <v>59</v>
      </c>
      <c r="E21" s="7" t="s">
        <v>102</v>
      </c>
      <c r="F21" s="7" t="s">
        <v>103</v>
      </c>
    </row>
    <row r="22" spans="1:6" ht="15.75" customHeight="1" x14ac:dyDescent="0.2">
      <c r="A22" s="9">
        <v>21</v>
      </c>
      <c r="B22" s="1" t="s">
        <v>17</v>
      </c>
      <c r="C22" s="1" t="s">
        <v>85</v>
      </c>
      <c r="D22" s="1" t="s">
        <v>62</v>
      </c>
      <c r="E22" s="7" t="s">
        <v>104</v>
      </c>
      <c r="F22" s="7" t="s">
        <v>105</v>
      </c>
    </row>
    <row r="23" spans="1:6" ht="15.75" customHeight="1" x14ac:dyDescent="0.2">
      <c r="A23" s="9">
        <v>22</v>
      </c>
      <c r="B23" s="1" t="s">
        <v>26</v>
      </c>
      <c r="C23" s="1" t="s">
        <v>85</v>
      </c>
      <c r="D23" s="1" t="s">
        <v>59</v>
      </c>
      <c r="E23" s="7" t="s">
        <v>106</v>
      </c>
      <c r="F23" s="7" t="s">
        <v>107</v>
      </c>
    </row>
    <row r="24" spans="1:6" ht="15.75" customHeight="1" x14ac:dyDescent="0.2">
      <c r="A24" s="9">
        <v>23</v>
      </c>
      <c r="B24" s="1" t="s">
        <v>38</v>
      </c>
      <c r="C24" s="1" t="s">
        <v>85</v>
      </c>
      <c r="D24" s="1" t="s">
        <v>62</v>
      </c>
      <c r="E24" s="7" t="s">
        <v>108</v>
      </c>
      <c r="F24" s="7" t="s">
        <v>109</v>
      </c>
    </row>
    <row r="25" spans="1:6" ht="15.75" customHeight="1" x14ac:dyDescent="0.2">
      <c r="A25" s="9">
        <v>24</v>
      </c>
      <c r="B25" s="1" t="s">
        <v>27</v>
      </c>
      <c r="C25" s="1" t="s">
        <v>85</v>
      </c>
      <c r="D25" s="1" t="s">
        <v>59</v>
      </c>
      <c r="E25" s="7" t="s">
        <v>110</v>
      </c>
      <c r="F25" s="7" t="s">
        <v>111</v>
      </c>
    </row>
    <row r="26" spans="1:6" ht="15.75" customHeight="1" x14ac:dyDescent="0.2">
      <c r="A26" s="9">
        <v>25</v>
      </c>
      <c r="B26" s="1" t="s">
        <v>46</v>
      </c>
      <c r="C26" s="1" t="s">
        <v>85</v>
      </c>
      <c r="D26" s="1" t="s">
        <v>62</v>
      </c>
      <c r="E26" s="7" t="s">
        <v>112</v>
      </c>
      <c r="F26" s="7" t="s">
        <v>113</v>
      </c>
    </row>
    <row r="27" spans="1:6" ht="15.75" customHeight="1" x14ac:dyDescent="0.2">
      <c r="A27" s="9">
        <v>26</v>
      </c>
      <c r="B27" s="1" t="s">
        <v>35</v>
      </c>
      <c r="C27" s="1" t="s">
        <v>85</v>
      </c>
      <c r="D27" s="1" t="s">
        <v>59</v>
      </c>
      <c r="E27" s="7" t="s">
        <v>114</v>
      </c>
      <c r="F27" s="7" t="s">
        <v>115</v>
      </c>
    </row>
    <row r="28" spans="1:6" ht="15.75" customHeight="1" x14ac:dyDescent="0.2">
      <c r="A28" s="9">
        <v>27</v>
      </c>
      <c r="B28" s="1" t="s">
        <v>15</v>
      </c>
      <c r="C28" s="1" t="s">
        <v>85</v>
      </c>
      <c r="D28" s="1" t="s">
        <v>62</v>
      </c>
      <c r="E28" s="7" t="s">
        <v>116</v>
      </c>
      <c r="F28" s="7" t="s">
        <v>117</v>
      </c>
    </row>
    <row r="29" spans="1:6" ht="15.75" customHeight="1" x14ac:dyDescent="0.2">
      <c r="A29" s="9">
        <v>28</v>
      </c>
      <c r="B29" s="1" t="s">
        <v>36</v>
      </c>
      <c r="C29" s="1" t="s">
        <v>85</v>
      </c>
      <c r="D29" s="1" t="s">
        <v>62</v>
      </c>
      <c r="E29" s="7" t="s">
        <v>118</v>
      </c>
      <c r="F29" s="7" t="s">
        <v>119</v>
      </c>
    </row>
    <row r="30" spans="1:6" ht="15.75" customHeight="1" x14ac:dyDescent="0.2">
      <c r="A30" s="9">
        <v>29</v>
      </c>
      <c r="B30" s="1" t="s">
        <v>23</v>
      </c>
      <c r="C30" s="1" t="s">
        <v>85</v>
      </c>
      <c r="D30" s="1" t="s">
        <v>65</v>
      </c>
      <c r="E30" s="7" t="s">
        <v>120</v>
      </c>
      <c r="F30" s="7" t="s">
        <v>121</v>
      </c>
    </row>
    <row r="31" spans="1:6" ht="15.75" customHeight="1" x14ac:dyDescent="0.2">
      <c r="A31" s="9">
        <v>30</v>
      </c>
      <c r="B31" s="1" t="s">
        <v>12</v>
      </c>
      <c r="C31" s="1" t="s">
        <v>122</v>
      </c>
      <c r="D31" s="1" t="s">
        <v>65</v>
      </c>
      <c r="E31" s="7" t="s">
        <v>123</v>
      </c>
      <c r="F31" s="7" t="s">
        <v>124</v>
      </c>
    </row>
    <row r="32" spans="1:6" ht="15.75" customHeight="1" x14ac:dyDescent="0.2"/>
    <row r="33" spans="5:5" ht="15.75" customHeight="1" x14ac:dyDescent="0.2">
      <c r="E33" s="7" t="s">
        <v>125</v>
      </c>
    </row>
    <row r="34" spans="5:5" ht="15.75" customHeight="1" x14ac:dyDescent="0.2"/>
    <row r="35" spans="5:5" ht="15.75" customHeight="1" x14ac:dyDescent="0.2"/>
    <row r="36" spans="5:5" ht="15.75" customHeight="1" x14ac:dyDescent="0.2"/>
    <row r="37" spans="5:5" ht="15.75" customHeight="1" x14ac:dyDescent="0.2"/>
    <row r="38" spans="5:5" ht="15.75" customHeight="1" x14ac:dyDescent="0.2"/>
    <row r="39" spans="5:5" ht="15.75" customHeight="1" x14ac:dyDescent="0.2"/>
    <row r="40" spans="5:5" ht="15.75" customHeight="1" x14ac:dyDescent="0.2"/>
    <row r="41" spans="5:5" ht="15.75" customHeight="1" x14ac:dyDescent="0.2"/>
    <row r="42" spans="5:5" ht="15.75" customHeight="1" x14ac:dyDescent="0.2"/>
    <row r="43" spans="5:5" ht="15.75" customHeight="1" x14ac:dyDescent="0.2"/>
    <row r="44" spans="5:5" ht="15.75" customHeight="1" x14ac:dyDescent="0.2"/>
    <row r="45" spans="5:5" ht="15.75" customHeight="1" x14ac:dyDescent="0.2"/>
    <row r="46" spans="5:5" ht="15.75" customHeight="1" x14ac:dyDescent="0.2"/>
    <row r="47" spans="5:5" ht="15.75" customHeight="1" x14ac:dyDescent="0.2"/>
    <row r="48" spans="5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2:B31">
    <cfRule type="containsText" dxfId="29" priority="1" stopIfTrue="1" operator="containsText" text="HNFa">
      <formula>NOT(ISERROR(SEARCH(("HNFa"),(B2))))</formula>
    </cfRule>
    <cfRule type="containsText" dxfId="28" priority="2" stopIfTrue="1" operator="containsText" text="HNFz">
      <formula>NOT(ISERROR(SEARCH(("HNFz"),(B2))))</formula>
    </cfRule>
    <cfRule type="containsText" dxfId="27" priority="3" stopIfTrue="1" operator="containsText" text="NWa">
      <formula>NOT(ISERROR(SEARCH(("NWa"),(B2))))</formula>
    </cfRule>
    <cfRule type="containsText" dxfId="26" priority="4" stopIfTrue="1" operator="containsText" text="NWz">
      <formula>NOT(ISERROR(SEARCH(("NWz"),(B2))))</formula>
    </cfRule>
    <cfRule type="containsText" dxfId="25" priority="5" stopIfTrue="1" operator="containsText" text="SWz">
      <formula>NOT(ISERROR(SEARCH(("SWz"),(B2))))</formula>
    </cfRule>
    <cfRule type="containsText" dxfId="24" priority="6" stopIfTrue="1" operator="containsText" text="SWa">
      <formula>NOT(ISERROR(SEARCH(("SWa"),(B2))))</formula>
    </cfRule>
    <cfRule type="containsText" dxfId="23" priority="7" stopIfTrue="1" operator="containsText" text="Wa">
      <formula>NOT(ISERROR(SEARCH(("Wa"),(B2))))</formula>
    </cfRule>
    <cfRule type="containsText" dxfId="22" priority="8" stopIfTrue="1" operator="containsText" text="Wz">
      <formula>NOT(ISERROR(SEARCH(("Wz"),(B2))))</formula>
    </cfRule>
    <cfRule type="containsText" dxfId="21" priority="9" stopIfTrue="1" operator="containsText" text="HNz">
      <formula>NOT(ISERROR(SEARCH(("HNz"),(B2))))</formula>
    </cfRule>
    <cfRule type="containsText" dxfId="20" priority="10" stopIfTrue="1" operator="containsText" text="HNa">
      <formula>NOT(ISERROR(SEARCH(("HNa"),(B2))))</formula>
    </cfRule>
    <cfRule type="containsText" dxfId="19" priority="11" operator="containsText" text="WS">
      <formula>NOT(ISERROR(SEARCH(("WS"),(B2))))</formula>
    </cfRule>
    <cfRule type="containsText" dxfId="18" priority="12" operator="containsText" text="WW">
      <formula>NOT(ISERROR(SEARCH(("WW"),(B2))))</formula>
    </cfRule>
    <cfRule type="containsText" dxfId="17" priority="13" operator="containsText" text="HM">
      <formula>NOT(ISERROR(SEARCH(("HM"),(B2))))</formula>
    </cfRule>
    <cfRule type="containsText" dxfId="16" priority="14" operator="containsText" text="BM">
      <formula>NOT(ISERROR(SEARCH(("BM"),(B2))))</formula>
    </cfRule>
    <cfRule type="containsText" dxfId="15" priority="15" operator="containsText" text="TM">
      <formula>NOT(ISERROR(SEARCH(("TM"),(B2))))</formula>
    </cfRule>
    <cfRule type="containsText" dxfId="14" priority="16" operator="containsText" text="Na">
      <formula>NOT(ISERROR(SEARCH(("Na"),(B2))))</formula>
    </cfRule>
    <cfRule type="containsText" dxfId="13" priority="17" operator="containsText" text="Nz">
      <formula>NOT(ISERROR(SEARCH(("Nz"),(B2))))</formula>
    </cfRule>
    <cfRule type="containsText" dxfId="12" priority="18" operator="containsText" text="HB">
      <formula>NOT(ISERROR(SEARCH(("HB"),(B2))))</formula>
    </cfRule>
    <cfRule type="containsText" dxfId="11" priority="19" operator="containsText" text="TrM">
      <formula>NOT(ISERROR(SEARCH(("TrM"),(B2))))</formula>
    </cfRule>
    <cfRule type="containsText" dxfId="10" priority="20" operator="containsText" text="NEa">
      <formula>NOT(ISERROR(SEARCH(("NEa"),(B2))))</formula>
    </cfRule>
    <cfRule type="containsText" dxfId="9" priority="21" operator="containsText" text="NEz">
      <formula>NOT(ISERROR(SEARCH(("NEz"),(B2))))</formula>
    </cfRule>
    <cfRule type="containsText" dxfId="8" priority="22" operator="containsText" text="HFa">
      <formula>NOT(ISERROR(SEARCH(("HFa"),(B2))))</formula>
    </cfRule>
    <cfRule type="containsText" dxfId="7" priority="23" operator="containsText" text="HFz">
      <formula>NOT(ISERROR(SEARCH(("HFz"),(B2))))</formula>
    </cfRule>
    <cfRule type="containsText" dxfId="6" priority="24" operator="containsText" text="SEa">
      <formula>NOT(ISERROR(SEARCH(("SEa"),(B2))))</formula>
    </cfRule>
    <cfRule type="containsText" dxfId="5" priority="25" operator="containsText" text="Ü">
      <formula>NOT(ISERROR(SEARCH(("Ü"),(B2))))</formula>
    </cfRule>
    <cfRule type="containsText" dxfId="4" priority="26" operator="containsText" text="TrW">
      <formula>NOT(ISERROR(SEARCH(("TrW"),(B2))))</formula>
    </cfRule>
    <cfRule type="containsText" dxfId="3" priority="27" operator="containsText" text="TB">
      <formula>NOT(ISERROR(SEARCH(("TB"),(B2))))</formula>
    </cfRule>
    <cfRule type="containsText" dxfId="2" priority="28" operator="containsText" text="Sz">
      <formula>NOT(ISERROR(SEARCH(("Sz"),(B2))))</formula>
    </cfRule>
    <cfRule type="containsText" dxfId="1" priority="29" operator="containsText" text="Sa">
      <formula>NOT(ISERROR(SEARCH(("Sa"),(B2))))</formula>
    </cfRule>
    <cfRule type="containsText" dxfId="0" priority="30" operator="containsText" text="SEz">
      <formula>NOT(ISERROR(SEARCH(("SEz"),(B2))))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availabiliy and weather  </vt:lpstr>
      <vt:lpstr>Data Sources</vt:lpstr>
      <vt:lpstr>Hess and Brezowsky</vt:lpstr>
      <vt:lpstr>'Data availabiliy and weather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Christen</cp:lastModifiedBy>
  <cp:lastPrinted>2025-02-13T20:52:01Z</cp:lastPrinted>
  <dcterms:created xsi:type="dcterms:W3CDTF">2025-02-12T21:37:27Z</dcterms:created>
  <dcterms:modified xsi:type="dcterms:W3CDTF">2025-10-24T11:46:44Z</dcterms:modified>
</cp:coreProperties>
</file>